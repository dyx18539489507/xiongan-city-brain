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4ee382ac2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be2beb8091340fa"/>
    <x:sheet xmlns:r="http://schemas.openxmlformats.org/officeDocument/2006/relationships" name="Intersections" sheetId="2" r:id="R8a05ad80ca81474a"/>
    <x:sheet xmlns:r="http://schemas.openxmlformats.org/officeDocument/2006/relationships" name="Profiles" sheetId="3" r:id="R194322ff4c5a4bfc"/>
    <x:sheet xmlns:r="http://schemas.openxmlformats.org/officeDocument/2006/relationships" name="Geometry" sheetId="4" r:id="Rf3b815e2328e4c34"/>
    <x:sheet xmlns:r="http://schemas.openxmlformats.org/officeDocument/2006/relationships" name="Source Issues" sheetId="5" r:id="Rd0f58950ae51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DDE8F3"/>
      <x:name val="Carlito"/>
    </x:font>
    <x:font>
      <x:b/>
      <x:sz val="10"/>
      <x:color rgb="FFFFFFFF"/>
      <x:name val="Carlito"/>
    </x:font>
    <x:font>
      <x:sz val="9"/>
      <x:color rgb="FF243040"/>
      <x:name val="Carlito"/>
    </x:font>
    <x:font>
      <x:b/>
      <x:sz val="9"/>
      <x:color rgb="FF287A64"/>
      <x:name val="Carlito"/>
    </x:font>
    <x:font>
      <x:b/>
      <x:sz val="9"/>
      <x:color rgb="FF806000"/>
      <x:name val="Carlito"/>
    </x:font>
    <x:font>
      <x:b/>
      <x:sz val="9"/>
      <x:color rgb="FFC84A5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C1424"/>
      </x:patternFill>
    </x:fill>
    <x:fill>
      <x:patternFill patternType="solid">
        <x:fgColor rgb="FF17243A"/>
      </x:patternFill>
    </x:fill>
    <x:fill>
      <x:patternFill patternType="solid">
        <x:fgColor rgb="FF1E9E8F"/>
      </x:patternFill>
    </x:fill>
    <x:fill>
      <x:patternFill patternType="solid">
        <x:fgColor rgb="FFDDF1E8"/>
      </x:patternFill>
    </x:fill>
    <x:fill>
      <x:patternFill patternType="solid">
        <x:fgColor rgb="FFFFF4CC"/>
      </x:patternFill>
    </x:fill>
    <x:fill>
      <x:patternFill patternType="solid">
        <x:fgColor rgb="FFFBE3E5"/>
      </x:patternFill>
    </x:fill>
  </x:fills>
  <x:borders count="2">
    <x:border/>
    <x:border>
      <x:left style="thin">
        <x:color rgb="FFD5DBE3"/>
      </x:left>
      <x:right style="thin">
        <x:color rgb="FFD5DBE3"/>
      </x:right>
      <x:top style="thin">
        <x:color rgb="FFD5DBE3"/>
      </x:top>
      <x:bottom style="thin">
        <x:color rgb="FFD5DBE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4f63bdebb4c8b" /><Relationship Type="http://schemas.openxmlformats.org/officeDocument/2006/relationships/theme" Target="/xl/theme/theme1.xml" Id="R2620dc4a7e584060" /><Relationship Type="http://schemas.openxmlformats.org/officeDocument/2006/relationships/sharedStrings" Target="/xl/sharedStrings.xml" Id="Rbf10ef1bb5b44329" /><Relationship Type="http://schemas.openxmlformats.org/officeDocument/2006/relationships/worksheet" Target="/xl/worksheets/sheet1.xml" Id="R6be2beb8091340fa" /><Relationship Type="http://schemas.openxmlformats.org/officeDocument/2006/relationships/worksheet" Target="/xl/worksheets/sheet2.xml" Id="R8a05ad80ca81474a" /><Relationship Type="http://schemas.openxmlformats.org/officeDocument/2006/relationships/worksheet" Target="/xl/worksheets/sheet3.xml" Id="R194322ff4c5a4bfc" /><Relationship Type="http://schemas.openxmlformats.org/officeDocument/2006/relationships/worksheet" Target="/xl/worksheets/sheet4.xml" Id="Rf3b815e2328e4c34" /><Relationship Type="http://schemas.openxmlformats.org/officeDocument/2006/relationships/worksheet" Target="/xl/worksheets/sheet5.xml" Id="Rd0f58950ae5147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7" customHeight="1">
      <x:c r="A1" s="5" t="str">
        <x:v>官方20个独立路口 · SUMO数据一致性审计</x:v>
      </x:c>
      <x:c r="B1" s="5" t="str">
        <x:v>官方20个独立路口 · SUMO数据一致性审计</x:v>
      </x:c>
      <x:c r="C1" s="5" t="str">
        <x:v>官方20个独立路口 · SUMO数据一致性审计</x:v>
      </x:c>
      <x:c r="D1" s="5" t="str">
        <x:v>官方20个独立路口 · SUMO数据一致性审计</x:v>
      </x:c>
      <x:c r="E1" s="5" t="str">
        <x:v>官方20个独立路口 · SUMO数据一致性审计</x:v>
      </x:c>
      <x:c r="F1" s="5" t="str">
        <x:v>官方20个独立路口 · SUMO数据一致性审计</x:v>
      </x:c>
      <x:c r="G1" s="5" t="str">
        <x:v>官方20个独立路口 · SUMO数据一致性审计</x:v>
      </x:c>
      <x:c r="H1" s="5" t="str">
        <x:v>官方20个独立路口 · SUMO数据一致性审计</x:v>
      </x:c>
    </x:row>
    <x:row r="2" ht="27" customHeight="1">
      <x:c r="A2" s="5" t="str">
        <x:v>官方20个独立路口 · SUMO数据一致性审计</x:v>
      </x:c>
      <x:c r="B2" s="5" t="str">
        <x:v>官方20个独立路口 · SUMO数据一致性审计</x:v>
      </x:c>
      <x:c r="C2" s="5" t="str">
        <x:v>官方20个独立路口 · SUMO数据一致性审计</x:v>
      </x:c>
      <x:c r="D2" s="5" t="str">
        <x:v>官方20个独立路口 · SUMO数据一致性审计</x:v>
      </x:c>
      <x:c r="E2" s="5" t="str">
        <x:v>官方20个独立路口 · SUMO数据一致性审计</x:v>
      </x:c>
      <x:c r="F2" s="5" t="str">
        <x:v>官方20个独立路口 · SUMO数据一致性审计</x:v>
      </x:c>
      <x:c r="G2" s="5" t="str">
        <x:v>官方20个独立路口 · SUMO数据一致性审计</x:v>
      </x:c>
      <x:c r="H2" s="5" t="str">
        <x:v>官方20个独立路口 · SUMO数据一致性审计</x:v>
      </x:c>
    </x:row>
    <x:row r="3" ht="27" customHeight="1">
      <x:c r="A3" s="9" t="str">
        <x:v>1—4号参考主办方SUMO示例；5—20号为主办方Excel/PNG + OSM工程模型。未清空结果如实保留。</x:v>
      </x:c>
      <x:c r="B3" s="9" t="str">
        <x:v>1—4号参考主办方SUMO示例；5—20号为主办方Excel/PNG + OSM工程模型。未清空结果如实保留。</x:v>
      </x:c>
      <x:c r="C3" s="9" t="str">
        <x:v>1—4号参考主办方SUMO示例；5—20号为主办方Excel/PNG + OSM工程模型。未清空结果如实保留。</x:v>
      </x:c>
      <x:c r="D3" s="9" t="str">
        <x:v>1—4号参考主办方SUMO示例；5—20号为主办方Excel/PNG + OSM工程模型。未清空结果如实保留。</x:v>
      </x:c>
      <x:c r="E3" s="9" t="str">
        <x:v>1—4号参考主办方SUMO示例；5—20号为主办方Excel/PNG + OSM工程模型。未清空结果如实保留。</x:v>
      </x:c>
      <x:c r="F3" s="9" t="str">
        <x:v>1—4号参考主办方SUMO示例；5—20号为主办方Excel/PNG + OSM工程模型。未清空结果如实保留。</x:v>
      </x:c>
      <x:c r="G3" s="9" t="str">
        <x:v>1—4号参考主办方SUMO示例；5—20号为主办方Excel/PNG + OSM工程模型。未清空结果如实保留。</x:v>
      </x:c>
      <x:c r="H3" s="9" t="str">
        <x:v>1—4号参考主办方SUMO示例；5—20号为主办方Excel/PNG + OSM工程模型。未清空结果如实保留。</x:v>
      </x:c>
    </x:row>
    <x:row r="5" ht="34" customHeight="1">
      <x:c r="A5" s="15" t="str">
        <x:v>检查门</x:v>
      </x:c>
      <x:c r="B5" s="15" t="str">
        <x:v>实际值</x:v>
      </x:c>
      <x:c r="C5" s="15" t="str">
        <x:v>目标/基准</x:v>
      </x:c>
      <x:c r="D5" s="15" t="str">
        <x:v>判定</x:v>
      </x:c>
      <x:c r="E5" s="26"/>
      <x:c r="F5" s="15" t="str">
        <x:v>证据边界与发现</x:v>
      </x:c>
      <x:c r="G5" s="15" t="str">
        <x:v>证据边界与发现</x:v>
      </x:c>
      <x:c r="H5" s="15" t="str">
        <x:v>证据边界与发现</x:v>
      </x:c>
    </x:row>
    <x:row r="6" ht="28" customHeight="1">
      <x:c r="A6" s="19" t="str">
        <x:v>独立路口工程</x:v>
      </x:c>
      <x:c r="B6" s="19" t="n">
        <x:f>COUNTA(Intersections!A6:A25)</x:f>
        <x:v>20</x:v>
      </x:c>
      <x:c r="C6" s="19" t="n">
        <x:v>20</x:v>
      </x:c>
      <x:c r="D6" s="22" t="str">
        <x:f>IF(B6=C6,"通过","需复核")</x:f>
        <x:v>通过</x:v>
      </x:c>
      <x:c r="E6" s="26"/>
      <x:c r="F6" s="19" t="str">
        <x:v>1-4号参考主办方SUMO示例; 5-20号为主办方Excel/PNG加OSM工程模型, 不是主办方提供的SUMO真值或测绘级车道数据</x:v>
      </x:c>
      <x:c r="G6" s="19" t="str">
        <x:v>1-4号参考主办方SUMO示例; 5-20号为主办方Excel/PNG加OSM工程模型, 不是主办方提供的SUMO真值或测绘级车道数据</x:v>
      </x:c>
      <x:c r="H6" s="19" t="str">
        <x:v>1-4号参考主办方SUMO示例; 5-20号为主办方Excel/PNG加OSM工程模型, 不是主办方提供的SUMO真值或测绘级车道数据</x:v>
      </x:c>
    </x:row>
    <x:row r="7" ht="28" customHeight="1">
      <x:c r="A7" s="19" t="str">
        <x:v>主办方SUMO示例参考</x:v>
      </x:c>
      <x:c r="B7" s="19" t="n">
        <x:f>SUM(Intersections!C6:C25)</x:f>
        <x:v>4</x:v>
      </x:c>
      <x:c r="C7" s="19" t="n">
        <x:v>4</x:v>
      </x:c>
      <x:c r="D7" s="22" t="str">
        <x:f>IF(B7=C7,"通过","需复核")</x:f>
        <x:v>通过</x:v>
      </x:c>
      <x:c r="E7" s="26"/>
      <x:c r="F7" s="19" t="str">
        <x:v>1-4号参考主办方SUMO示例; 5-20号为主办方Excel/PNG加OSM工程模型, 不是主办方提供的SUMO真值或测绘级车道数据</x:v>
      </x:c>
      <x:c r="G7" s="19" t="str">
        <x:v>1-4号参考主办方SUMO示例; 5-20号为主办方Excel/PNG加OSM工程模型, 不是主办方提供的SUMO真值或测绘级车道数据</x:v>
      </x:c>
      <x:c r="H7" s="19" t="str">
        <x:v>1-4号参考主办方SUMO示例; 5-20号为主办方Excel/PNG加OSM工程模型, 不是主办方提供的SUMO真值或测绘级车道数据</x:v>
      </x:c>
    </x:row>
    <x:row r="8" ht="28" customHeight="1">
      <x:c r="A8" s="19" t="str">
        <x:v>车道配置可追溯</x:v>
      </x:c>
      <x:c r="B8" s="19" t="n">
        <x:f>SUM(Intersections!H6:H25)</x:f>
        <x:v>20</x:v>
      </x:c>
      <x:c r="C8" s="19" t="n">
        <x:v>20</x:v>
      </x:c>
      <x:c r="D8" s="22" t="str">
        <x:f>IF(B8=C8,"通过","需复核")</x:f>
        <x:v>通过</x:v>
      </x:c>
      <x:c r="E8" s="26"/>
      <x:c r="F8" s="19" t="str">
        <x:v>1-4号参考主办方SUMO示例; 5-20号为主办方Excel/PNG加OSM工程模型, 不是主办方提供的SUMO真值或测绘级车道数据</x:v>
      </x:c>
      <x:c r="G8" s="19" t="str">
        <x:v>1-4号参考主办方SUMO示例; 5-20号为主办方Excel/PNG加OSM工程模型, 不是主办方提供的SUMO真值或测绘级车道数据</x:v>
      </x:c>
      <x:c r="H8" s="19" t="str">
        <x:v>1-4号参考主办方SUMO示例; 5-20号为主办方Excel/PNG加OSM工程模型, 不是主办方提供的SUMO真值或测绘级车道数据</x:v>
      </x:c>
    </x:row>
    <x:row r="9" ht="28" customHeight="1">
      <x:c r="A9" s="19" t="str">
        <x:v>15分钟流量逐项一致</x:v>
      </x:c>
      <x:c r="B9" s="19" t="n">
        <x:f>SUM(Profiles!E6:E65)</x:f>
        <x:v>60</x:v>
      </x:c>
      <x:c r="C9" s="19" t="n">
        <x:v>60</x:v>
      </x:c>
      <x:c r="D9" s="22" t="str">
        <x:f>IF(B9=C9,"通过","需复核")</x:f>
        <x:v>通过</x:v>
      </x:c>
      <x:c r="E9" s="26"/>
      <x:c r="F9" s="19" t="str">
        <x:v>1-4号参考主办方SUMO示例; 5-20号为主办方Excel/PNG加OSM工程模型, 不是主办方提供的SUMO真值或测绘级车道数据</x:v>
      </x:c>
      <x:c r="G9" s="19" t="str">
        <x:v>1-4号参考主办方SUMO示例; 5-20号为主办方Excel/PNG加OSM工程模型, 不是主办方提供的SUMO真值或测绘级车道数据</x:v>
      </x:c>
      <x:c r="H9" s="19" t="str">
        <x:v>1-4号参考主办方SUMO示例; 5-20号为主办方Excel/PNG加OSM工程模型, 不是主办方提供的SUMO真值或测绘级车道数据</x:v>
      </x:c>
    </x:row>
    <x:row r="10" ht="28" customHeight="1">
      <x:c r="A10" s="19" t="str">
        <x:v>信号分量逐项一致</x:v>
      </x:c>
      <x:c r="B10" s="19" t="n">
        <x:f>SUM(Profiles!F6:F65)</x:f>
        <x:v>60</x:v>
      </x:c>
      <x:c r="C10" s="19" t="n">
        <x:v>60</x:v>
      </x:c>
      <x:c r="D10" s="22" t="str">
        <x:f>IF(B10=C10,"通过","需复核")</x:f>
        <x:v>通过</x:v>
      </x:c>
      <x:c r="E10" s="26"/>
      <x:c r="F10" s="19" t="str">
        <x:v>主办方Excel内部：11/20工作簿完全一致；29个字段级差异。执行以8行15分钟流量和逐相位绿/黄/全红分量为准。</x:v>
      </x:c>
      <x:c r="G10" s="19" t="str">
        <x:v>主办方Excel内部：11/20工作簿完全一致；29个字段级差异。执行以8行15分钟流量和逐相位绿/黄/全红分量为准。</x:v>
      </x:c>
      <x:c r="H10" s="19" t="str">
        <x:v>主办方Excel内部：11/20工作簿完全一致；29个字段级差异。执行以8行15分钟流量和逐相位绿/黄/全红分量为准。</x:v>
      </x:c>
    </x:row>
    <x:row r="11" ht="28" customHeight="1">
      <x:c r="A11" s="19" t="str">
        <x:v>黄色/simple shapes/300ms</x:v>
      </x:c>
      <x:c r="B11" s="19" t="n">
        <x:f>SUM(Profiles!G6:G65)</x:f>
        <x:v>60</x:v>
      </x:c>
      <x:c r="C11" s="19" t="n">
        <x:v>60</x:v>
      </x:c>
      <x:c r="D11" s="22" t="str">
        <x:f>IF(B11=C11,"通过","需复核")</x:f>
        <x:v>通过</x:v>
      </x:c>
      <x:c r="E11" s="26"/>
      <x:c r="F11" s="19" t="str">
        <x:v>主办方Excel内部：11/20工作簿完全一致；29个字段级差异。执行以8行15分钟流量和逐相位绿/黄/全红分量为准。</x:v>
      </x:c>
      <x:c r="G11" s="19" t="str">
        <x:v>主办方Excel内部：11/20工作簿完全一致；29个字段级差异。执行以8行15分钟流量和逐相位绿/黄/全红分量为准。</x:v>
      </x:c>
      <x:c r="H11" s="19" t="str">
        <x:v>主办方Excel内部：11/20工作簿完全一致；29个字段级差异。执行以8行15分钟流量和逐相位绿/黄/全红分量为准。</x:v>
      </x:c>
    </x:row>
    <x:row r="12" ht="28" customHeight="1">
      <x:c r="A12" s="19" t="str">
        <x:v>SUMO正常退出</x:v>
      </x:c>
      <x:c r="B12" s="19" t="n">
        <x:f>COUNTIF(Profiles!Q6:Q65,0)</x:f>
        <x:v>60</x:v>
      </x:c>
      <x:c r="C12" s="19" t="n">
        <x:v>60</x:v>
      </x:c>
      <x:c r="D12" s="22" t="str">
        <x:f>IF(B12=C12,"通过","需复核")</x:f>
        <x:v>通过</x:v>
      </x:c>
      <x:c r="E12" s="26"/>
      <x:c r="F12" s="19" t="str">
        <x:v>主办方Excel内部：11/20工作簿完全一致；29个字段级差异。执行以8行15分钟流量和逐相位绿/黄/全红分量为准。</x:v>
      </x:c>
      <x:c r="G12" s="19" t="str">
        <x:v>主办方Excel内部：11/20工作簿完全一致；29个字段级差异。执行以8行15分钟流量和逐相位绿/黄/全红分量为准。</x:v>
      </x:c>
      <x:c r="H12" s="19" t="str">
        <x:v>主办方Excel内部：11/20工作簿完全一致；29个字段级差异。执行以8行15分钟流量和逐相位绿/黄/全红分量为准。</x:v>
      </x:c>
    </x:row>
    <x:row r="13" ht="28" customHeight="1">
      <x:c r="A13" s="19" t="str">
        <x:v>需求守恒</x:v>
      </x:c>
      <x:c r="B13" s="19" t="n">
        <x:f>SUM(Profiles!M6:M65)</x:f>
        <x:v>60</x:v>
      </x:c>
      <x:c r="C13" s="19" t="n">
        <x:v>60</x:v>
      </x:c>
      <x:c r="D13" s="22" t="str">
        <x:f>IF(B13=C13,"通过","需复核")</x:f>
        <x:v>通过</x:v>
      </x:c>
      <x:c r="E13" s="26"/>
      <x:c r="F13" s="19" t="str">
        <x:v>道路证据共74条臂；1—4号保留主办方SUMO长度，5—20号共59条道路臂统一采用250m独立路口边界。OSM证据长度与模型长度分别保留。</x:v>
      </x:c>
      <x:c r="G13" s="19" t="str">
        <x:v>道路证据共74条臂；1—4号保留主办方SUMO长度，5—20号共59条道路臂统一采用250m独立路口边界。OSM证据长度与模型长度分别保留。</x:v>
      </x:c>
      <x:c r="H13" s="19" t="str">
        <x:v>道路证据共74条臂；1—4号保留主办方SUMO长度，5—20号共59条道路臂统一采用250m独立路口边界。OSM证据长度与模型长度分别保留。</x:v>
      </x:c>
    </x:row>
    <x:row r="14" ht="28" customHeight="1">
      <x:c r="A14" s="19" t="str">
        <x:v>9000秒内完全清空</x:v>
      </x:c>
      <x:c r="B14" s="19" t="n">
        <x:f>SUM(Profiles!N6:N65)</x:f>
        <x:v>27</x:v>
      </x:c>
      <x:c r="C14" s="19" t="n">
        <x:v>60</x:v>
      </x:c>
      <x:c r="D14" s="25" t="str">
        <x:f>"结果记录"</x:f>
        <x:v>结果记录</x:v>
      </x:c>
      <x:c r="E14" s="26"/>
      <x:c r="F14" s="19" t="str">
        <x:v>道路证据共74条臂；1—4号保留主办方SUMO长度，5—20号共59条道路臂统一采用250m独立路口边界。OSM证据长度与模型长度分别保留。</x:v>
      </x:c>
      <x:c r="G14" s="19" t="str">
        <x:v>道路证据共74条臂；1—4号保留主办方SUMO长度，5—20号共59条道路臂统一采用250m独立路口边界。OSM证据长度与模型长度分别保留。</x:v>
      </x:c>
      <x:c r="H14" s="19" t="str">
        <x:v>道路证据共74条臂；1—4号保留主办方SUMO长度，5—20号共59条道路臂统一采用250m独立路口边界。OSM证据长度与模型长度分别保留。</x:v>
      </x:c>
    </x:row>
    <x:row r="15" ht="28" customHeight="1">
      <x:c r="A15" s="19" t="str">
        <x:v>碰撞</x:v>
      </x:c>
      <x:c r="B15" s="19" t="n">
        <x:f>SUM(Profiles!O6:O65)</x:f>
        <x:v>0</x:v>
      </x:c>
      <x:c r="C15" s="19" t="n">
        <x:v>0</x:v>
      </x:c>
      <x:c r="D15" s="22" t="str">
        <x:f>IF(B15=C15,"通过","需复核")</x:f>
        <x:v>通过</x:v>
      </x:c>
      <x:c r="E15" s="26"/>
      <x:c r="F15" s="19" t="str">
        <x:v>道路证据共74条臂；1—4号保留主办方SUMO长度，5—20号共59条道路臂统一采用250m独立路口边界。OSM证据长度与模型长度分别保留。</x:v>
      </x:c>
      <x:c r="G15" s="19" t="str">
        <x:v>道路证据共74条臂；1—4号保留主办方SUMO长度，5—20号共59条道路臂统一采用250m独立路口边界。OSM证据长度与模型长度分别保留。</x:v>
      </x:c>
      <x:c r="H15" s="19" t="str">
        <x:v>道路证据共74条臂；1—4号保留主办方SUMO长度，5—20号共59条道路臂统一采用250m独立路口边界。OSM证据长度与模型长度分别保留。</x:v>
      </x:c>
    </x:row>
    <x:row r="16" ht="28" customHeight="1">
      <x:c r="A16" s="19" t="str">
        <x:v>瞬移</x:v>
      </x:c>
      <x:c r="B16" s="19" t="n">
        <x:f>SUM(Profiles!P6:P65)</x:f>
        <x:v>0</x:v>
      </x:c>
      <x:c r="C16" s="19" t="n">
        <x:v>0</x:v>
      </x:c>
      <x:c r="D16" s="22" t="str">
        <x:f>IF(B16=C16,"通过","需复核")</x:f>
        <x:v>通过</x:v>
      </x:c>
      <x:c r="E16" s="26"/>
      <x:c r="F16" s="19" t="str">
        <x:v>道路证据共74条臂；1—4号保留主办方SUMO长度，5—20号共59条道路臂统一采用250m独立路口边界。OSM证据长度与模型长度分别保留。</x:v>
      </x:c>
      <x:c r="G16" s="19" t="str">
        <x:v>道路证据共74条臂；1—4号保留主办方SUMO长度，5—20号共59条道路臂统一采用250m独立路口边界。OSM证据长度与模型长度分别保留。</x:v>
      </x:c>
      <x:c r="H16" s="19" t="str">
        <x:v>道路证据共74条臂；1—4号保留主办方SUMO长度，5—20号共59条道路臂统一采用250m独立路口边界。OSM证据长度与模型长度分别保留。</x:v>
      </x:c>
    </x:row>
  </x:sheetData>
  <x:mergeCells>
    <x:mergeCell ref="A1:H2"/>
    <x:mergeCell ref="A3:H3"/>
    <x:mergeCell ref="F5:H5"/>
    <x:mergeCell ref="F6:H9"/>
    <x:mergeCell ref="F10:H12"/>
    <x:mergeCell ref="F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5" hidden="0" customWidth="1"/>
    <x:col min="3" max="3" width="14" hidden="0" customWidth="1"/>
    <x:col min="4" max="4" width="3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24" hidden="0" customWidth="1"/>
  </x:cols>
  <x:sheetData>
    <x:row r="1" ht="27" customHeight="1">
      <x:c r="A1" s="5" t="str">
        <x:v>20个路口总表</x:v>
      </x:c>
      <x:c r="B1" s="5" t="str">
        <x:v>20个路口总表</x:v>
      </x:c>
      <x:c r="C1" s="5" t="str">
        <x:v>20个路口总表</x:v>
      </x:c>
      <x:c r="D1" s="5" t="str">
        <x:v>20个路口总表</x:v>
      </x:c>
      <x:c r="E1" s="5" t="str">
        <x:v>20个路口总表</x:v>
      </x:c>
      <x:c r="F1" s="5" t="str">
        <x:v>20个路口总表</x:v>
      </x:c>
      <x:c r="G1" s="5" t="str">
        <x:v>20个路口总表</x:v>
      </x:c>
      <x:c r="H1" s="5" t="str">
        <x:v>20个路口总表</x:v>
      </x:c>
      <x:c r="I1" s="5" t="str">
        <x:v>20个路口总表</x:v>
      </x:c>
      <x:c r="J1" s="5" t="str">
        <x:v>20个路口总表</x:v>
      </x:c>
      <x:c r="K1" s="5" t="str">
        <x:v>20个路口总表</x:v>
      </x:c>
      <x:c r="L1" s="5" t="str">
        <x:v>20个路口总表</x:v>
      </x:c>
      <x:c r="M1" s="5" t="str">
        <x:v>20个路口总表</x:v>
      </x:c>
    </x:row>
    <x:row r="2" ht="27" customHeight="1">
      <x:c r="A2" s="5" t="str">
        <x:v>20个路口总表</x:v>
      </x:c>
      <x:c r="B2" s="5" t="str">
        <x:v>20个路口总表</x:v>
      </x:c>
      <x:c r="C2" s="5" t="str">
        <x:v>20个路口总表</x:v>
      </x:c>
      <x:c r="D2" s="5" t="str">
        <x:v>20个路口总表</x:v>
      </x:c>
      <x:c r="E2" s="5" t="str">
        <x:v>20个路口总表</x:v>
      </x:c>
      <x:c r="F2" s="5" t="str">
        <x:v>20个路口总表</x:v>
      </x:c>
      <x:c r="G2" s="5" t="str">
        <x:v>20个路口总表</x:v>
      </x:c>
      <x:c r="H2" s="5" t="str">
        <x:v>20个路口总表</x:v>
      </x:c>
      <x:c r="I2" s="5" t="str">
        <x:v>20个路口总表</x:v>
      </x:c>
      <x:c r="J2" s="5" t="str">
        <x:v>20个路口总表</x:v>
      </x:c>
      <x:c r="K2" s="5" t="str">
        <x:v>20个路口总表</x:v>
      </x:c>
      <x:c r="L2" s="5" t="str">
        <x:v>20个路口总表</x:v>
      </x:c>
      <x:c r="M2" s="5" t="str">
        <x:v>20个路口总表</x:v>
      </x:c>
    </x:row>
    <x:row r="3" ht="27" customHeight="1">
      <x:c r="A3" s="9" t="str">
        <x:v>车道登记表精确匹配18/20；13、14号为显式人工复核覆盖，仍可追溯但需后续图资校准。</x:v>
      </x:c>
      <x:c r="B3" s="9" t="str">
        <x:v>车道登记表精确匹配18/20；13、14号为显式人工复核覆盖，仍可追溯但需后续图资校准。</x:v>
      </x:c>
      <x:c r="C3" s="9" t="str">
        <x:v>车道登记表精确匹配18/20；13、14号为显式人工复核覆盖，仍可追溯但需后续图资校准。</x:v>
      </x:c>
      <x:c r="D3" s="9" t="str">
        <x:v>车道登记表精确匹配18/20；13、14号为显式人工复核覆盖，仍可追溯但需后续图资校准。</x:v>
      </x:c>
      <x:c r="E3" s="9" t="str">
        <x:v>车道登记表精确匹配18/20；13、14号为显式人工复核覆盖，仍可追溯但需后续图资校准。</x:v>
      </x:c>
      <x:c r="F3" s="9" t="str">
        <x:v>车道登记表精确匹配18/20；13、14号为显式人工复核覆盖，仍可追溯但需后续图资校准。</x:v>
      </x:c>
      <x:c r="G3" s="9" t="str">
        <x:v>车道登记表精确匹配18/20；13、14号为显式人工复核覆盖，仍可追溯但需后续图资校准。</x:v>
      </x:c>
      <x:c r="H3" s="9" t="str">
        <x:v>车道登记表精确匹配18/20；13、14号为显式人工复核覆盖，仍可追溯但需后续图资校准。</x:v>
      </x:c>
      <x:c r="I3" s="9" t="str">
        <x:v>车道登记表精确匹配18/20；13、14号为显式人工复核覆盖，仍可追溯但需后续图资校准。</x:v>
      </x:c>
      <x:c r="J3" s="9" t="str">
        <x:v>车道登记表精确匹配18/20；13、14号为显式人工复核覆盖，仍可追溯但需后续图资校准。</x:v>
      </x:c>
      <x:c r="K3" s="9" t="str">
        <x:v>车道登记表精确匹配18/20；13、14号为显式人工复核覆盖，仍可追溯但需后续图资校准。</x:v>
      </x:c>
      <x:c r="L3" s="9" t="str">
        <x:v>车道登记表精确匹配18/20；13、14号为显式人工复核覆盖，仍可追溯但需后续图资校准。</x:v>
      </x:c>
      <x:c r="M3" s="9" t="str">
        <x:v>车道登记表精确匹配18/20；13、14号为显式人工复核覆盖，仍可追溯但需后续图资校准。</x:v>
      </x:c>
    </x:row>
    <x:row r="5" ht="34" customHeight="1">
      <x:c r="A5" s="15" t="str">
        <x:v>路口</x:v>
      </x:c>
      <x:c r="B5" s="15" t="str">
        <x:v>来源分类</x:v>
      </x:c>
      <x:c r="C5" s="15" t="str">
        <x:v>官方SUMO参考</x:v>
      </x:c>
      <x:c r="D5" s="15" t="str">
        <x:v>车道证据方法</x:v>
      </x:c>
      <x:c r="E5" s="15" t="str">
        <x:v>置信度</x:v>
      </x:c>
      <x:c r="F5" s="15" t="str">
        <x:v>登记表精确匹配</x:v>
      </x:c>
      <x:c r="G5" s="15" t="str">
        <x:v>配置状态</x:v>
      </x:c>
      <x:c r="H5" s="15" t="str">
        <x:v>配置可追溯</x:v>
      </x:c>
      <x:c r="I5" s="15" t="str">
        <x:v>Excel内部一致</x:v>
      </x:c>
      <x:c r="J5" s="15" t="str">
        <x:v>几何调整数</x:v>
      </x:c>
      <x:c r="K5" s="15" t="str">
        <x:v>结构有效</x:v>
      </x:c>
      <x:c r="L5" s="15" t="str">
        <x:v>清空时段数</x:v>
      </x:c>
      <x:c r="M5" s="15" t="str">
        <x:v>备注</x:v>
      </x:c>
    </x:row>
    <x:row r="6" ht="28" customHeight="1">
      <x:c r="A6" s="19" t="n">
        <x:v>1</x:v>
      </x:c>
      <x:c r="B6" s="19" t="str">
        <x:v>organizer_excel_png_official_sumo_reference_model</x:v>
      </x:c>
      <x:c r="C6" s="22" t="n">
        <x:v>1</x:v>
      </x:c>
      <x:c r="D6" s="19" t="str">
        <x:v>organizer_official_sumo</x:v>
      </x:c>
      <x:c r="E6" s="19" t="str">
        <x:v>high</x:v>
      </x:c>
      <x:c r="F6" s="22" t="n">
        <x:v>1</x:v>
      </x:c>
      <x:c r="G6" s="19" t="str">
        <x:v>exact_registry_match</x:v>
      </x:c>
      <x:c r="H6" s="22" t="n">
        <x:v>1</x:v>
      </x:c>
      <x:c r="I6" s="22" t="n">
        <x:v>1</x:v>
      </x:c>
      <x:c r="J6" s="19" t="n">
        <x:v>0</x:v>
      </x:c>
      <x:c r="K6" s="22" t="n">
        <x:v>1</x:v>
      </x:c>
      <x:c r="L6" s="19" t="n">
        <x:v>2</x:v>
      </x:c>
      <x:c r="M6" s="19" t="str">
        <x:v>主办方示例几何/车道</x:v>
      </x:c>
    </x:row>
    <x:row r="7" ht="28" customHeight="1">
      <x:c r="A7" s="19" t="n">
        <x:v>2</x:v>
      </x:c>
      <x:c r="B7" s="19" t="str">
        <x:v>organizer_excel_png_official_sumo_reference_model</x:v>
      </x:c>
      <x:c r="C7" s="22" t="n">
        <x:v>1</x:v>
      </x:c>
      <x:c r="D7" s="19" t="str">
        <x:v>organizer_official_sumo</x:v>
      </x:c>
      <x:c r="E7" s="19" t="str">
        <x:v>high</x:v>
      </x:c>
      <x:c r="F7" s="22" t="n">
        <x:v>1</x:v>
      </x:c>
      <x:c r="G7" s="19" t="str">
        <x:v>exact_registry_match</x:v>
      </x:c>
      <x:c r="H7" s="22" t="n">
        <x:v>1</x:v>
      </x:c>
      <x:c r="I7" s="22" t="n">
        <x:v>1</x:v>
      </x:c>
      <x:c r="J7" s="19" t="n">
        <x:v>0</x:v>
      </x:c>
      <x:c r="K7" s="22" t="n">
        <x:v>1</x:v>
      </x:c>
      <x:c r="L7" s="19" t="n">
        <x:v>0</x:v>
      </x:c>
      <x:c r="M7" s="19" t="str">
        <x:v>主办方示例几何/车道</x:v>
      </x:c>
    </x:row>
    <x:row r="8" ht="28" customHeight="1">
      <x:c r="A8" s="19" t="n">
        <x:v>3</x:v>
      </x:c>
      <x:c r="B8" s="19" t="str">
        <x:v>organizer_excel_png_official_sumo_reference_model</x:v>
      </x:c>
      <x:c r="C8" s="22" t="n">
        <x:v>1</x:v>
      </x:c>
      <x:c r="D8" s="19" t="str">
        <x:v>organizer_official_sumo</x:v>
      </x:c>
      <x:c r="E8" s="19" t="str">
        <x:v>high</x:v>
      </x:c>
      <x:c r="F8" s="22" t="n">
        <x:v>1</x:v>
      </x:c>
      <x:c r="G8" s="19" t="str">
        <x:v>exact_registry_match</x:v>
      </x:c>
      <x:c r="H8" s="22" t="n">
        <x:v>1</x:v>
      </x:c>
      <x:c r="I8" s="22" t="n">
        <x:v>1</x:v>
      </x:c>
      <x:c r="J8" s="19" t="n">
        <x:v>0</x:v>
      </x:c>
      <x:c r="K8" s="22" t="n">
        <x:v>1</x:v>
      </x:c>
      <x:c r="L8" s="19" t="n">
        <x:v>3</x:v>
      </x:c>
      <x:c r="M8" s="19" t="str">
        <x:v>主办方示例几何/车道</x:v>
      </x:c>
    </x:row>
    <x:row r="9" ht="28" customHeight="1">
      <x:c r="A9" s="19" t="n">
        <x:v>4</x:v>
      </x:c>
      <x:c r="B9" s="19" t="str">
        <x:v>organizer_excel_png_official_sumo_reference_model</x:v>
      </x:c>
      <x:c r="C9" s="22" t="n">
        <x:v>1</x:v>
      </x:c>
      <x:c r="D9" s="19" t="str">
        <x:v>organizer_official_sumo</x:v>
      </x:c>
      <x:c r="E9" s="19" t="str">
        <x:v>high</x:v>
      </x:c>
      <x:c r="F9" s="22" t="n">
        <x:v>1</x:v>
      </x:c>
      <x:c r="G9" s="19" t="str">
        <x:v>exact_registry_match</x:v>
      </x:c>
      <x:c r="H9" s="22" t="n">
        <x:v>1</x:v>
      </x:c>
      <x:c r="I9" s="22" t="n">
        <x:v>1</x:v>
      </x:c>
      <x:c r="J9" s="19" t="n">
        <x:v>0</x:v>
      </x:c>
      <x:c r="K9" s="22" t="n">
        <x:v>1</x:v>
      </x:c>
      <x:c r="L9" s="19" t="n">
        <x:v>1</x:v>
      </x:c>
      <x:c r="M9" s="19" t="str">
        <x:v>主办方示例几何/车道</x:v>
      </x:c>
    </x:row>
    <x:row r="10" ht="28" customHeight="1">
      <x:c r="A10" s="19" t="n">
        <x:v>5</x:v>
      </x:c>
      <x:c r="B10" s="19" t="str">
        <x:v>organizer_excel_png_plus_osm_modeled_sumo</x:v>
      </x:c>
      <x:c r="C10" s="29" t="n">
        <x:v>0</x:v>
      </x:c>
      <x:c r="D10" s="19" t="str">
        <x:v>official_png_visual_interpretation</x:v>
      </x:c>
      <x:c r="E10" s="19" t="str">
        <x:v>medium</x:v>
      </x:c>
      <x:c r="F10" s="22" t="n">
        <x:v>1</x:v>
      </x:c>
      <x:c r="G10" s="19" t="str">
        <x:v>exact_registry_match</x:v>
      </x:c>
      <x:c r="H10" s="22" t="n">
        <x:v>1</x:v>
      </x:c>
      <x:c r="I10" s="22" t="n">
        <x:v>1</x:v>
      </x:c>
      <x:c r="J10" s="19" t="n">
        <x:v>3</x:v>
      </x:c>
      <x:c r="K10" s="22" t="n">
        <x:v>1</x:v>
      </x:c>
      <x:c r="L10" s="19" t="n">
        <x:v>2</x:v>
      </x:c>
      <x:c r="M10" s="19" t="str">
        <x:v>PNG/OSM工程模型</x:v>
      </x:c>
    </x:row>
    <x:row r="11" ht="28" customHeight="1">
      <x:c r="A11" s="19" t="n">
        <x:v>6</x:v>
      </x:c>
      <x:c r="B11" s="19" t="str">
        <x:v>organizer_excel_png_plus_osm_modeled_sumo</x:v>
      </x:c>
      <x:c r="C11" s="29" t="n">
        <x:v>0</x:v>
      </x:c>
      <x:c r="D11" s="19" t="str">
        <x:v>official_png_visual_interpretation</x:v>
      </x:c>
      <x:c r="E11" s="19" t="str">
        <x:v>medium</x:v>
      </x:c>
      <x:c r="F11" s="22" t="n">
        <x:v>1</x:v>
      </x:c>
      <x:c r="G11" s="19" t="str">
        <x:v>exact_registry_match</x:v>
      </x:c>
      <x:c r="H11" s="22" t="n">
        <x:v>1</x:v>
      </x:c>
      <x:c r="I11" s="29" t="n">
        <x:v>0</x:v>
      </x:c>
      <x:c r="J11" s="19" t="n">
        <x:v>4</x:v>
      </x:c>
      <x:c r="K11" s="22" t="n">
        <x:v>1</x:v>
      </x:c>
      <x:c r="L11" s="19" t="n">
        <x:v>3</x:v>
      </x:c>
      <x:c r="M11" s="19" t="str">
        <x:v>PNG/OSM工程模型</x:v>
      </x:c>
    </x:row>
    <x:row r="12" ht="28" customHeight="1">
      <x:c r="A12" s="19" t="n">
        <x:v>7</x:v>
      </x:c>
      <x:c r="B12" s="19" t="str">
        <x:v>organizer_excel_png_plus_osm_modeled_sumo</x:v>
      </x:c>
      <x:c r="C12" s="29" t="n">
        <x:v>0</x:v>
      </x:c>
      <x:c r="D12" s="19" t="str">
        <x:v>official_png_visual_interpretation</x:v>
      </x:c>
      <x:c r="E12" s="19" t="str">
        <x:v>medium</x:v>
      </x:c>
      <x:c r="F12" s="22" t="n">
        <x:v>1</x:v>
      </x:c>
      <x:c r="G12" s="19" t="str">
        <x:v>exact_registry_match</x:v>
      </x:c>
      <x:c r="H12" s="22" t="n">
        <x:v>1</x:v>
      </x:c>
      <x:c r="I12" s="29" t="n">
        <x:v>0</x:v>
      </x:c>
      <x:c r="J12" s="19" t="n">
        <x:v>4</x:v>
      </x:c>
      <x:c r="K12" s="22" t="n">
        <x:v>1</x:v>
      </x:c>
      <x:c r="L12" s="19" t="n">
        <x:v>0</x:v>
      </x:c>
      <x:c r="M12" s="19" t="str">
        <x:v>PNG/OSM工程模型</x:v>
      </x:c>
    </x:row>
    <x:row r="13" ht="28" customHeight="1">
      <x:c r="A13" s="19" t="n">
        <x:v>8</x:v>
      </x:c>
      <x:c r="B13" s="19" t="str">
        <x:v>organizer_excel_png_plus_osm_modeled_sumo</x:v>
      </x:c>
      <x:c r="C13" s="29" t="n">
        <x:v>0</x:v>
      </x:c>
      <x:c r="D13" s="19" t="str">
        <x:v>official_png_visual_interpretation</x:v>
      </x:c>
      <x:c r="E13" s="19" t="str">
        <x:v>medium</x:v>
      </x:c>
      <x:c r="F13" s="22" t="n">
        <x:v>1</x:v>
      </x:c>
      <x:c r="G13" s="19" t="str">
        <x:v>exact_registry_match</x:v>
      </x:c>
      <x:c r="H13" s="22" t="n">
        <x:v>1</x:v>
      </x:c>
      <x:c r="I13" s="22" t="n">
        <x:v>1</x:v>
      </x:c>
      <x:c r="J13" s="19" t="n">
        <x:v>4</x:v>
      </x:c>
      <x:c r="K13" s="22" t="n">
        <x:v>1</x:v>
      </x:c>
      <x:c r="L13" s="19" t="n">
        <x:v>1</x:v>
      </x:c>
      <x:c r="M13" s="19" t="str">
        <x:v>PNG/OSM工程模型</x:v>
      </x:c>
    </x:row>
    <x:row r="14" ht="28" customHeight="1">
      <x:c r="A14" s="19" t="n">
        <x:v>9</x:v>
      </x:c>
      <x:c r="B14" s="19" t="str">
        <x:v>organizer_excel_png_plus_osm_modeled_sumo</x:v>
      </x:c>
      <x:c r="C14" s="29" t="n">
        <x:v>0</x:v>
      </x:c>
      <x:c r="D14" s="19" t="str">
        <x:v>official_png_visual_interpretation</x:v>
      </x:c>
      <x:c r="E14" s="19" t="str">
        <x:v>medium</x:v>
      </x:c>
      <x:c r="F14" s="22" t="n">
        <x:v>1</x:v>
      </x:c>
      <x:c r="G14" s="19" t="str">
        <x:v>exact_registry_match</x:v>
      </x:c>
      <x:c r="H14" s="22" t="n">
        <x:v>1</x:v>
      </x:c>
      <x:c r="I14" s="22" t="n">
        <x:v>1</x:v>
      </x:c>
      <x:c r="J14" s="19" t="n">
        <x:v>4</x:v>
      </x:c>
      <x:c r="K14" s="22" t="n">
        <x:v>1</x:v>
      </x:c>
      <x:c r="L14" s="19" t="n">
        <x:v>3</x:v>
      </x:c>
      <x:c r="M14" s="19" t="str">
        <x:v>PNG/OSM工程模型</x:v>
      </x:c>
    </x:row>
    <x:row r="15" ht="28" customHeight="1">
      <x:c r="A15" s="19" t="n">
        <x:v>10</x:v>
      </x:c>
      <x:c r="B15" s="19" t="str">
        <x:v>organizer_excel_png_plus_osm_modeled_sumo</x:v>
      </x:c>
      <x:c r="C15" s="29" t="n">
        <x:v>0</x:v>
      </x:c>
      <x:c r="D15" s="19" t="str">
        <x:v>official_png_visual_interpretation</x:v>
      </x:c>
      <x:c r="E15" s="19" t="str">
        <x:v>high</x:v>
      </x:c>
      <x:c r="F15" s="22" t="n">
        <x:v>1</x:v>
      </x:c>
      <x:c r="G15" s="19" t="str">
        <x:v>exact_registry_match</x:v>
      </x:c>
      <x:c r="H15" s="22" t="n">
        <x:v>1</x:v>
      </x:c>
      <x:c r="I15" s="22" t="n">
        <x:v>1</x:v>
      </x:c>
      <x:c r="J15" s="19" t="n">
        <x:v>3</x:v>
      </x:c>
      <x:c r="K15" s="22" t="n">
        <x:v>1</x:v>
      </x:c>
      <x:c r="L15" s="19" t="n">
        <x:v>0</x:v>
      </x:c>
      <x:c r="M15" s="19" t="str">
        <x:v>PNG/OSM工程模型</x:v>
      </x:c>
    </x:row>
    <x:row r="16" ht="28" customHeight="1">
      <x:c r="A16" s="19" t="n">
        <x:v>11</x:v>
      </x:c>
      <x:c r="B16" s="19" t="str">
        <x:v>organizer_excel_png_plus_osm_modeled_sumo</x:v>
      </x:c>
      <x:c r="C16" s="29" t="n">
        <x:v>0</x:v>
      </x:c>
      <x:c r="D16" s="19" t="str">
        <x:v>official_png_visual_interpretation</x:v>
      </x:c>
      <x:c r="E16" s="19" t="str">
        <x:v>medium</x:v>
      </x:c>
      <x:c r="F16" s="22" t="n">
        <x:v>1</x:v>
      </x:c>
      <x:c r="G16" s="19" t="str">
        <x:v>exact_registry_match</x:v>
      </x:c>
      <x:c r="H16" s="22" t="n">
        <x:v>1</x:v>
      </x:c>
      <x:c r="I16" s="29" t="n">
        <x:v>0</x:v>
      </x:c>
      <x:c r="J16" s="19" t="n">
        <x:v>4</x:v>
      </x:c>
      <x:c r="K16" s="22" t="n">
        <x:v>1</x:v>
      </x:c>
      <x:c r="L16" s="19" t="n">
        <x:v>0</x:v>
      </x:c>
      <x:c r="M16" s="19" t="str">
        <x:v>PNG/OSM工程模型</x:v>
      </x:c>
    </x:row>
    <x:row r="17" ht="28" customHeight="1">
      <x:c r="A17" s="19" t="n">
        <x:v>12</x:v>
      </x:c>
      <x:c r="B17" s="19" t="str">
        <x:v>organizer_excel_png_plus_osm_modeled_sumo</x:v>
      </x:c>
      <x:c r="C17" s="29" t="n">
        <x:v>0</x:v>
      </x:c>
      <x:c r="D17" s="19" t="str">
        <x:v>official_png_visual_interpretation</x:v>
      </x:c>
      <x:c r="E17" s="19" t="str">
        <x:v>medium</x:v>
      </x:c>
      <x:c r="F17" s="22" t="n">
        <x:v>1</x:v>
      </x:c>
      <x:c r="G17" s="19" t="str">
        <x:v>exact_registry_match</x:v>
      </x:c>
      <x:c r="H17" s="22" t="n">
        <x:v>1</x:v>
      </x:c>
      <x:c r="I17" s="29" t="n">
        <x:v>0</x:v>
      </x:c>
      <x:c r="J17" s="19" t="n">
        <x:v>4</x:v>
      </x:c>
      <x:c r="K17" s="22" t="n">
        <x:v>1</x:v>
      </x:c>
      <x:c r="L17" s="19" t="n">
        <x:v>1</x:v>
      </x:c>
      <x:c r="M17" s="19" t="str">
        <x:v>PNG/OSM工程模型</x:v>
      </x:c>
    </x:row>
    <x:row r="18" ht="28" customHeight="1">
      <x:c r="A18" s="19" t="n">
        <x:v>13</x:v>
      </x:c>
      <x:c r="B18" s="19" t="str">
        <x:v>organizer_excel_png_plus_osm_modeled_sumo</x:v>
      </x:c>
      <x:c r="C18" s="29" t="n">
        <x:v>0</x:v>
      </x:c>
      <x:c r="D18" s="19" t="str">
        <x:v>official_png_visual_interpretation</x:v>
      </x:c>
      <x:c r="E18" s="19" t="str">
        <x:v>medium</x:v>
      </x:c>
      <x:c r="F18" s="29" t="n">
        <x:v>0</x:v>
      </x:c>
      <x:c r="G18" s="19" t="str">
        <x:v>explicit_reviewed_override</x:v>
      </x:c>
      <x:c r="H18" s="22" t="n">
        <x:v>1</x:v>
      </x:c>
      <x:c r="I18" s="22" t="n">
        <x:v>1</x:v>
      </x:c>
      <x:c r="J18" s="19" t="n">
        <x:v>3</x:v>
      </x:c>
      <x:c r="K18" s="22" t="n">
        <x:v>1</x:v>
      </x:c>
      <x:c r="L18" s="19" t="n">
        <x:v>1</x:v>
      </x:c>
      <x:c r="M18" s="19" t="str">
        <x:v>PNG/OSM工程模型</x:v>
      </x:c>
    </x:row>
    <x:row r="19" ht="28" customHeight="1">
      <x:c r="A19" s="19" t="n">
        <x:v>14</x:v>
      </x:c>
      <x:c r="B19" s="19" t="str">
        <x:v>organizer_excel_png_plus_osm_modeled_sumo</x:v>
      </x:c>
      <x:c r="C19" s="29" t="n">
        <x:v>0</x:v>
      </x:c>
      <x:c r="D19" s="19" t="str">
        <x:v>teammate_template_retained</x:v>
      </x:c>
      <x:c r="E19" s="19" t="str">
        <x:v>low</x:v>
      </x:c>
      <x:c r="F19" s="29" t="n">
        <x:v>0</x:v>
      </x:c>
      <x:c r="G19" s="19" t="str">
        <x:v>explicit_reviewed_override</x:v>
      </x:c>
      <x:c r="H19" s="22" t="n">
        <x:v>1</x:v>
      </x:c>
      <x:c r="I19" s="22" t="n">
        <x:v>1</x:v>
      </x:c>
      <x:c r="J19" s="19" t="n">
        <x:v>3</x:v>
      </x:c>
      <x:c r="K19" s="22" t="n">
        <x:v>1</x:v>
      </x:c>
      <x:c r="L19" s="19" t="n">
        <x:v>0</x:v>
      </x:c>
      <x:c r="M19" s="19" t="str">
        <x:v>PNG/OSM工程模型</x:v>
      </x:c>
    </x:row>
    <x:row r="20" ht="28" customHeight="1">
      <x:c r="A20" s="19" t="n">
        <x:v>15</x:v>
      </x:c>
      <x:c r="B20" s="19" t="str">
        <x:v>organizer_excel_png_plus_osm_modeled_sumo</x:v>
      </x:c>
      <x:c r="C20" s="29" t="n">
        <x:v>0</x:v>
      </x:c>
      <x:c r="D20" s="19" t="str">
        <x:v>teammate_template_retained</x:v>
      </x:c>
      <x:c r="E20" s="19" t="str">
        <x:v>low</x:v>
      </x:c>
      <x:c r="F20" s="22" t="n">
        <x:v>1</x:v>
      </x:c>
      <x:c r="G20" s="19" t="str">
        <x:v>exact_registry_match</x:v>
      </x:c>
      <x:c r="H20" s="22" t="n">
        <x:v>1</x:v>
      </x:c>
      <x:c r="I20" s="29" t="n">
        <x:v>0</x:v>
      </x:c>
      <x:c r="J20" s="19" t="n">
        <x:v>4</x:v>
      </x:c>
      <x:c r="K20" s="22" t="n">
        <x:v>1</x:v>
      </x:c>
      <x:c r="L20" s="19" t="n">
        <x:v>2</x:v>
      </x:c>
      <x:c r="M20" s="19" t="str">
        <x:v>PNG/OSM工程模型</x:v>
      </x:c>
    </x:row>
    <x:row r="21" ht="28" customHeight="1">
      <x:c r="A21" s="19" t="n">
        <x:v>16</x:v>
      </x:c>
      <x:c r="B21" s="19" t="str">
        <x:v>organizer_excel_png_plus_osm_modeled_sumo</x:v>
      </x:c>
      <x:c r="C21" s="29" t="n">
        <x:v>0</x:v>
      </x:c>
      <x:c r="D21" s="19" t="str">
        <x:v>teammate_template_retained</x:v>
      </x:c>
      <x:c r="E21" s="19" t="str">
        <x:v>low</x:v>
      </x:c>
      <x:c r="F21" s="22" t="n">
        <x:v>1</x:v>
      </x:c>
      <x:c r="G21" s="19" t="str">
        <x:v>exact_registry_match</x:v>
      </x:c>
      <x:c r="H21" s="22" t="n">
        <x:v>1</x:v>
      </x:c>
      <x:c r="I21" s="29" t="n">
        <x:v>0</x:v>
      </x:c>
      <x:c r="J21" s="19" t="n">
        <x:v>4</x:v>
      </x:c>
      <x:c r="K21" s="22" t="n">
        <x:v>1</x:v>
      </x:c>
      <x:c r="L21" s="19" t="n">
        <x:v>2</x:v>
      </x:c>
      <x:c r="M21" s="19" t="str">
        <x:v>PNG/OSM工程模型</x:v>
      </x:c>
    </x:row>
    <x:row r="22" ht="28" customHeight="1">
      <x:c r="A22" s="19" t="n">
        <x:v>17</x:v>
      </x:c>
      <x:c r="B22" s="19" t="str">
        <x:v>organizer_excel_png_plus_osm_modeled_sumo</x:v>
      </x:c>
      <x:c r="C22" s="29" t="n">
        <x:v>0</x:v>
      </x:c>
      <x:c r="D22" s="19" t="str">
        <x:v>teammate_template_retained</x:v>
      </x:c>
      <x:c r="E22" s="19" t="str">
        <x:v>low</x:v>
      </x:c>
      <x:c r="F22" s="22" t="n">
        <x:v>1</x:v>
      </x:c>
      <x:c r="G22" s="19" t="str">
        <x:v>exact_registry_match</x:v>
      </x:c>
      <x:c r="H22" s="22" t="n">
        <x:v>1</x:v>
      </x:c>
      <x:c r="I22" s="29" t="n">
        <x:v>0</x:v>
      </x:c>
      <x:c r="J22" s="19" t="n">
        <x:v>3</x:v>
      </x:c>
      <x:c r="K22" s="22" t="n">
        <x:v>1</x:v>
      </x:c>
      <x:c r="L22" s="19" t="n">
        <x:v>2</x:v>
      </x:c>
      <x:c r="M22" s="19" t="str">
        <x:v>PNG/OSM工程模型</x:v>
      </x:c>
    </x:row>
    <x:row r="23" ht="28" customHeight="1">
      <x:c r="A23" s="19" t="n">
        <x:v>18</x:v>
      </x:c>
      <x:c r="B23" s="19" t="str">
        <x:v>organizer_excel_png_plus_osm_modeled_sumo</x:v>
      </x:c>
      <x:c r="C23" s="29" t="n">
        <x:v>0</x:v>
      </x:c>
      <x:c r="D23" s="19" t="str">
        <x:v>teammate_template_retained</x:v>
      </x:c>
      <x:c r="E23" s="19" t="str">
        <x:v>low</x:v>
      </x:c>
      <x:c r="F23" s="22" t="n">
        <x:v>1</x:v>
      </x:c>
      <x:c r="G23" s="19" t="str">
        <x:v>exact_registry_match</x:v>
      </x:c>
      <x:c r="H23" s="22" t="n">
        <x:v>1</x:v>
      </x:c>
      <x:c r="I23" s="29" t="n">
        <x:v>0</x:v>
      </x:c>
      <x:c r="J23" s="19" t="n">
        <x:v>4</x:v>
      </x:c>
      <x:c r="K23" s="22" t="n">
        <x:v>1</x:v>
      </x:c>
      <x:c r="L23" s="19" t="n">
        <x:v>1</x:v>
      </x:c>
      <x:c r="M23" s="19" t="str">
        <x:v>PNG/OSM工程模型</x:v>
      </x:c>
    </x:row>
    <x:row r="24" ht="28" customHeight="1">
      <x:c r="A24" s="19" t="n">
        <x:v>19</x:v>
      </x:c>
      <x:c r="B24" s="19" t="str">
        <x:v>organizer_excel_png_plus_osm_modeled_sumo</x:v>
      </x:c>
      <x:c r="C24" s="29" t="n">
        <x:v>0</x:v>
      </x:c>
      <x:c r="D24" s="19" t="str">
        <x:v>teammate_template_retained</x:v>
      </x:c>
      <x:c r="E24" s="19" t="str">
        <x:v>low</x:v>
      </x:c>
      <x:c r="F24" s="22" t="n">
        <x:v>1</x:v>
      </x:c>
      <x:c r="G24" s="19" t="str">
        <x:v>exact_registry_match</x:v>
      </x:c>
      <x:c r="H24" s="22" t="n">
        <x:v>1</x:v>
      </x:c>
      <x:c r="I24" s="29" t="n">
        <x:v>0</x:v>
      </x:c>
      <x:c r="J24" s="19" t="n">
        <x:v>4</x:v>
      </x:c>
      <x:c r="K24" s="22" t="n">
        <x:v>1</x:v>
      </x:c>
      <x:c r="L24" s="19" t="n">
        <x:v>2</x:v>
      </x:c>
      <x:c r="M24" s="19" t="str">
        <x:v>PNG/OSM工程模型</x:v>
      </x:c>
    </x:row>
    <x:row r="25" ht="28" customHeight="1">
      <x:c r="A25" s="19" t="n">
        <x:v>20</x:v>
      </x:c>
      <x:c r="B25" s="19" t="str">
        <x:v>organizer_excel_png_plus_osm_modeled_sumo</x:v>
      </x:c>
      <x:c r="C25" s="29" t="n">
        <x:v>0</x:v>
      </x:c>
      <x:c r="D25" s="19" t="str">
        <x:v>teammate_template_retained</x:v>
      </x:c>
      <x:c r="E25" s="19" t="str">
        <x:v>low</x:v>
      </x:c>
      <x:c r="F25" s="22" t="n">
        <x:v>1</x:v>
      </x:c>
      <x:c r="G25" s="19" t="str">
        <x:v>exact_registry_match</x:v>
      </x:c>
      <x:c r="H25" s="22" t="n">
        <x:v>1</x:v>
      </x:c>
      <x:c r="I25" s="22" t="n">
        <x:v>1</x:v>
      </x:c>
      <x:c r="J25" s="19" t="n">
        <x:v>4</x:v>
      </x:c>
      <x:c r="K25" s="22" t="n">
        <x:v>1</x:v>
      </x:c>
      <x:c r="L25" s="19" t="n">
        <x:v>1</x:v>
      </x:c>
      <x:c r="M25" s="19" t="str">
        <x:v>PNG/OSM工程模型</x:v>
      </x:c>
    </x:row>
  </x:sheetData>
  <x:mergeCells>
    <x:mergeCell ref="A1:M2"/>
    <x:mergeCell ref="A3:M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7" customHeight="1">
      <x:c r="A1" s="5" t="str">
        <x:v>60个时段逐项核验</x:v>
      </x:c>
      <x:c r="B1" s="5" t="str">
        <x:v>60个时段逐项核验</x:v>
      </x:c>
      <x:c r="C1" s="5" t="str">
        <x:v>60个时段逐项核验</x:v>
      </x:c>
      <x:c r="D1" s="5" t="str">
        <x:v>60个时段逐项核验</x:v>
      </x:c>
      <x:c r="E1" s="5" t="str">
        <x:v>60个时段逐项核验</x:v>
      </x:c>
      <x:c r="F1" s="5" t="str">
        <x:v>60个时段逐项核验</x:v>
      </x:c>
      <x:c r="G1" s="5" t="str">
        <x:v>60个时段逐项核验</x:v>
      </x:c>
      <x:c r="H1" s="5" t="str">
        <x:v>60个时段逐项核验</x:v>
      </x:c>
      <x:c r="I1" s="5" t="str">
        <x:v>60个时段逐项核验</x:v>
      </x:c>
      <x:c r="J1" s="5" t="str">
        <x:v>60个时段逐项核验</x:v>
      </x:c>
      <x:c r="K1" s="5" t="str">
        <x:v>60个时段逐项核验</x:v>
      </x:c>
      <x:c r="L1" s="5" t="str">
        <x:v>60个时段逐项核验</x:v>
      </x:c>
      <x:c r="M1" s="5" t="str">
        <x:v>60个时段逐项核验</x:v>
      </x:c>
      <x:c r="N1" s="5" t="str">
        <x:v>60个时段逐项核验</x:v>
      </x:c>
      <x:c r="O1" s="5" t="str">
        <x:v>60个时段逐项核验</x:v>
      </x:c>
      <x:c r="P1" s="5" t="str">
        <x:v>60个时段逐项核验</x:v>
      </x:c>
      <x:c r="Q1" s="5" t="str">
        <x:v>60个时段逐项核验</x:v>
      </x:c>
    </x:row>
    <x:row r="2" ht="27" customHeight="1">
      <x:c r="A2" s="5" t="str">
        <x:v>60个时段逐项核验</x:v>
      </x:c>
      <x:c r="B2" s="5" t="str">
        <x:v>60个时段逐项核验</x:v>
      </x:c>
      <x:c r="C2" s="5" t="str">
        <x:v>60个时段逐项核验</x:v>
      </x:c>
      <x:c r="D2" s="5" t="str">
        <x:v>60个时段逐项核验</x:v>
      </x:c>
      <x:c r="E2" s="5" t="str">
        <x:v>60个时段逐项核验</x:v>
      </x:c>
      <x:c r="F2" s="5" t="str">
        <x:v>60个时段逐项核验</x:v>
      </x:c>
      <x:c r="G2" s="5" t="str">
        <x:v>60个时段逐项核验</x:v>
      </x:c>
      <x:c r="H2" s="5" t="str">
        <x:v>60个时段逐项核验</x:v>
      </x:c>
      <x:c r="I2" s="5" t="str">
        <x:v>60个时段逐项核验</x:v>
      </x:c>
      <x:c r="J2" s="5" t="str">
        <x:v>60个时段逐项核验</x:v>
      </x:c>
      <x:c r="K2" s="5" t="str">
        <x:v>60个时段逐项核验</x:v>
      </x:c>
      <x:c r="L2" s="5" t="str">
        <x:v>60个时段逐项核验</x:v>
      </x:c>
      <x:c r="M2" s="5" t="str">
        <x:v>60个时段逐项核验</x:v>
      </x:c>
      <x:c r="N2" s="5" t="str">
        <x:v>60个时段逐项核验</x:v>
      </x:c>
      <x:c r="O2" s="5" t="str">
        <x:v>60个时段逐项核验</x:v>
      </x:c>
      <x:c r="P2" s="5" t="str">
        <x:v>60个时段逐项核验</x:v>
      </x:c>
      <x:c r="Q2" s="5" t="str">
        <x:v>60个时段逐项核验</x:v>
      </x:c>
    </x:row>
    <x:row r="3" ht="27" customHeight="1">
      <x:c r="A3" s="9" t="str">
        <x:v>未清空不是生成失败；结构有效、需求守恒和清空状态分别记录。</x:v>
      </x:c>
      <x:c r="B3" s="9" t="str">
        <x:v>未清空不是生成失败；结构有效、需求守恒和清空状态分别记录。</x:v>
      </x:c>
      <x:c r="C3" s="9" t="str">
        <x:v>未清空不是生成失败；结构有效、需求守恒和清空状态分别记录。</x:v>
      </x:c>
      <x:c r="D3" s="9" t="str">
        <x:v>未清空不是生成失败；结构有效、需求守恒和清空状态分别记录。</x:v>
      </x:c>
      <x:c r="E3" s="9" t="str">
        <x:v>未清空不是生成失败；结构有效、需求守恒和清空状态分别记录。</x:v>
      </x:c>
      <x:c r="F3" s="9" t="str">
        <x:v>未清空不是生成失败；结构有效、需求守恒和清空状态分别记录。</x:v>
      </x:c>
      <x:c r="G3" s="9" t="str">
        <x:v>未清空不是生成失败；结构有效、需求守恒和清空状态分别记录。</x:v>
      </x:c>
      <x:c r="H3" s="9" t="str">
        <x:v>未清空不是生成失败；结构有效、需求守恒和清空状态分别记录。</x:v>
      </x:c>
      <x:c r="I3" s="9" t="str">
        <x:v>未清空不是生成失败；结构有效、需求守恒和清空状态分别记录。</x:v>
      </x:c>
      <x:c r="J3" s="9" t="str">
        <x:v>未清空不是生成失败；结构有效、需求守恒和清空状态分别记录。</x:v>
      </x:c>
      <x:c r="K3" s="9" t="str">
        <x:v>未清空不是生成失败；结构有效、需求守恒和清空状态分别记录。</x:v>
      </x:c>
      <x:c r="L3" s="9" t="str">
        <x:v>未清空不是生成失败；结构有效、需求守恒和清空状态分别记录。</x:v>
      </x:c>
      <x:c r="M3" s="9" t="str">
        <x:v>未清空不是生成失败；结构有效、需求守恒和清空状态分别记录。</x:v>
      </x:c>
      <x:c r="N3" s="9" t="str">
        <x:v>未清空不是生成失败；结构有效、需求守恒和清空状态分别记录。</x:v>
      </x:c>
      <x:c r="O3" s="9" t="str">
        <x:v>未清空不是生成失败；结构有效、需求守恒和清空状态分别记录。</x:v>
      </x:c>
      <x:c r="P3" s="9" t="str">
        <x:v>未清空不是生成失败；结构有效、需求守恒和清空状态分别记录。</x:v>
      </x:c>
      <x:c r="Q3" s="9" t="str">
        <x:v>未清空不是生成失败；结构有效、需求守恒和清空状态分别记录。</x:v>
      </x:c>
    </x:row>
    <x:row r="5" ht="34" customHeight="1">
      <x:c r="A5" s="15" t="str">
        <x:v>路口</x:v>
      </x:c>
      <x:c r="B5" s="15" t="str">
        <x:v>时段</x:v>
      </x:c>
      <x:c r="C5" s="15" t="str">
        <x:v>Excel需求</x:v>
      </x:c>
      <x:c r="D5" s="15" t="str">
        <x:v>SUMO需求</x:v>
      </x:c>
      <x:c r="E5" s="15" t="str">
        <x:v>15分钟流量一致</x:v>
      </x:c>
      <x:c r="F5" s="15" t="str">
        <x:v>信号分量一致</x:v>
      </x:c>
      <x:c r="G5" s="15" t="str">
        <x:v>主题/GUI一致</x:v>
      </x:c>
      <x:c r="H5" s="15" t="str">
        <x:v>源时段内部一致</x:v>
      </x:c>
      <x:c r="I5" s="15" t="str">
        <x:v>loaded</x:v>
      </x:c>
      <x:c r="J5" s="15" t="str">
        <x:v>完成</x:v>
      </x:c>
      <x:c r="K5" s="15" t="str">
        <x:v>running</x:v>
      </x:c>
      <x:c r="L5" s="15" t="str">
        <x:v>waiting</x:v>
      </x:c>
      <x:c r="M5" s="15" t="str">
        <x:v>需求守恒</x:v>
      </x:c>
      <x:c r="N5" s="15" t="str">
        <x:v>完全清空</x:v>
      </x:c>
      <x:c r="O5" s="15" t="str">
        <x:v>碰撞</x:v>
      </x:c>
      <x:c r="P5" s="15" t="str">
        <x:v>瞬移</x:v>
      </x:c>
      <x:c r="Q5" s="15" t="str">
        <x:v>退出码</x:v>
      </x:c>
    </x:row>
    <x:row r="6" ht="28" customHeight="1">
      <x:c r="A6" s="19" t="n">
        <x:v>1</x:v>
      </x:c>
      <x:c r="B6" s="19" t="str">
        <x:v>am_peak</x:v>
      </x:c>
      <x:c r="C6" s="19" t="n">
        <x:v>3998</x:v>
      </x:c>
      <x:c r="D6" s="19" t="n">
        <x:v>3998</x:v>
      </x:c>
      <x:c r="E6" s="22" t="n">
        <x:v>1</x:v>
      </x:c>
      <x:c r="F6" s="22" t="n">
        <x:v>1</x:v>
      </x:c>
      <x:c r="G6" s="22" t="n">
        <x:v>1</x:v>
      </x:c>
      <x:c r="H6" s="22" t="n">
        <x:v>1</x:v>
      </x:c>
      <x:c r="I6" s="19" t="n">
        <x:v>3998</x:v>
      </x:c>
      <x:c r="J6" s="19" t="n">
        <x:v>3998</x:v>
      </x:c>
      <x:c r="K6" s="19" t="n">
        <x:v>0</x:v>
      </x:c>
      <x:c r="L6" s="19" t="n">
        <x:v>0</x:v>
      </x:c>
      <x:c r="M6" s="22" t="n">
        <x:v>1</x:v>
      </x:c>
      <x:c r="N6" s="22" t="n">
        <x:v>1</x:v>
      </x:c>
      <x:c r="O6" s="19" t="n">
        <x:v>0</x:v>
      </x:c>
      <x:c r="P6" s="19" t="n">
        <x:v>0</x:v>
      </x:c>
      <x:c r="Q6" s="19" t="n">
        <x:v>0</x:v>
      </x:c>
    </x:row>
    <x:row r="7" ht="28" customHeight="1">
      <x:c r="A7" s="19" t="n">
        <x:v>1</x:v>
      </x:c>
      <x:c r="B7" s="19" t="str">
        <x:v>offpeak</x:v>
      </x:c>
      <x:c r="C7" s="19" t="n">
        <x:v>2525</x:v>
      </x:c>
      <x:c r="D7" s="19" t="n">
        <x:v>2525</x:v>
      </x:c>
      <x:c r="E7" s="22" t="n">
        <x:v>1</x:v>
      </x:c>
      <x:c r="F7" s="22" t="n">
        <x:v>1</x:v>
      </x:c>
      <x:c r="G7" s="22" t="n">
        <x:v>1</x:v>
      </x:c>
      <x:c r="H7" s="22" t="n">
        <x:v>1</x:v>
      </x:c>
      <x:c r="I7" s="19" t="n">
        <x:v>2525</x:v>
      </x:c>
      <x:c r="J7" s="19" t="n">
        <x:v>2525</x:v>
      </x:c>
      <x:c r="K7" s="19" t="n">
        <x:v>0</x:v>
      </x:c>
      <x:c r="L7" s="19" t="n">
        <x:v>0</x:v>
      </x:c>
      <x:c r="M7" s="22" t="n">
        <x:v>1</x:v>
      </x:c>
      <x:c r="N7" s="22" t="n">
        <x:v>1</x:v>
      </x:c>
      <x:c r="O7" s="19" t="n">
        <x:v>0</x:v>
      </x:c>
      <x:c r="P7" s="19" t="n">
        <x:v>0</x:v>
      </x:c>
      <x:c r="Q7" s="19" t="n">
        <x:v>0</x:v>
      </x:c>
    </x:row>
    <x:row r="8" ht="28" customHeight="1">
      <x:c r="A8" s="19" t="n">
        <x:v>1</x:v>
      </x:c>
      <x:c r="B8" s="19" t="str">
        <x:v>pm_peak</x:v>
      </x:c>
      <x:c r="C8" s="19" t="n">
        <x:v>4592</x:v>
      </x:c>
      <x:c r="D8" s="19" t="n">
        <x:v>4592</x:v>
      </x:c>
      <x:c r="E8" s="22" t="n">
        <x:v>1</x:v>
      </x:c>
      <x:c r="F8" s="22" t="n">
        <x:v>1</x:v>
      </x:c>
      <x:c r="G8" s="22" t="n">
        <x:v>1</x:v>
      </x:c>
      <x:c r="H8" s="22" t="n">
        <x:v>1</x:v>
      </x:c>
      <x:c r="I8" s="19" t="n">
        <x:v>4592</x:v>
      </x:c>
      <x:c r="J8" s="19" t="n">
        <x:v>4552</x:v>
      </x:c>
      <x:c r="K8" s="19" t="n">
        <x:v>8</x:v>
      </x:c>
      <x:c r="L8" s="19" t="n">
        <x:v>32</x:v>
      </x:c>
      <x:c r="M8" s="22" t="n">
        <x:v>1</x:v>
      </x:c>
      <x:c r="N8" s="29" t="n">
        <x:v>0</x:v>
      </x:c>
      <x:c r="O8" s="19" t="n">
        <x:v>0</x:v>
      </x:c>
      <x:c r="P8" s="19" t="n">
        <x:v>0</x:v>
      </x:c>
      <x:c r="Q8" s="19" t="n">
        <x:v>0</x:v>
      </x:c>
    </x:row>
    <x:row r="9" ht="28" customHeight="1">
      <x:c r="A9" s="19" t="n">
        <x:v>2</x:v>
      </x:c>
      <x:c r="B9" s="19" t="str">
        <x:v>am_peak</x:v>
      </x:c>
      <x:c r="C9" s="19" t="n">
        <x:v>2761</x:v>
      </x:c>
      <x:c r="D9" s="19" t="n">
        <x:v>2761</x:v>
      </x:c>
      <x:c r="E9" s="22" t="n">
        <x:v>1</x:v>
      </x:c>
      <x:c r="F9" s="22" t="n">
        <x:v>1</x:v>
      </x:c>
      <x:c r="G9" s="22" t="n">
        <x:v>1</x:v>
      </x:c>
      <x:c r="H9" s="22" t="n">
        <x:v>1</x:v>
      </x:c>
      <x:c r="I9" s="19" t="n">
        <x:v>2761</x:v>
      </x:c>
      <x:c r="J9" s="19" t="n">
        <x:v>2007</x:v>
      </x:c>
      <x:c r="K9" s="19" t="n">
        <x:v>8</x:v>
      </x:c>
      <x:c r="L9" s="19" t="n">
        <x:v>746</x:v>
      </x:c>
      <x:c r="M9" s="22" t="n">
        <x:v>1</x:v>
      </x:c>
      <x:c r="N9" s="29" t="n">
        <x:v>0</x:v>
      </x:c>
      <x:c r="O9" s="19" t="n">
        <x:v>0</x:v>
      </x:c>
      <x:c r="P9" s="19" t="n">
        <x:v>0</x:v>
      </x:c>
      <x:c r="Q9" s="19" t="n">
        <x:v>0</x:v>
      </x:c>
    </x:row>
    <x:row r="10" ht="28" customHeight="1">
      <x:c r="A10" s="19" t="n">
        <x:v>2</x:v>
      </x:c>
      <x:c r="B10" s="19" t="str">
        <x:v>offpeak</x:v>
      </x:c>
      <x:c r="C10" s="19" t="n">
        <x:v>1502</x:v>
      </x:c>
      <x:c r="D10" s="19" t="n">
        <x:v>1502</x:v>
      </x:c>
      <x:c r="E10" s="22" t="n">
        <x:v>1</x:v>
      </x:c>
      <x:c r="F10" s="22" t="n">
        <x:v>1</x:v>
      </x:c>
      <x:c r="G10" s="22" t="n">
        <x:v>1</x:v>
      </x:c>
      <x:c r="H10" s="22" t="n">
        <x:v>1</x:v>
      </x:c>
      <x:c r="I10" s="19" t="n">
        <x:v>1502</x:v>
      </x:c>
      <x:c r="J10" s="19" t="n">
        <x:v>1404</x:v>
      </x:c>
      <x:c r="K10" s="19" t="n">
        <x:v>8</x:v>
      </x:c>
      <x:c r="L10" s="19" t="n">
        <x:v>90</x:v>
      </x:c>
      <x:c r="M10" s="22" t="n">
        <x:v>1</x:v>
      </x:c>
      <x:c r="N10" s="29" t="n">
        <x:v>0</x:v>
      </x:c>
      <x:c r="O10" s="19" t="n">
        <x:v>0</x:v>
      </x:c>
      <x:c r="P10" s="19" t="n">
        <x:v>0</x:v>
      </x:c>
      <x:c r="Q10" s="19" t="n">
        <x:v>0</x:v>
      </x:c>
    </x:row>
    <x:row r="11" ht="28" customHeight="1">
      <x:c r="A11" s="19" t="n">
        <x:v>2</x:v>
      </x:c>
      <x:c r="B11" s="19" t="str">
        <x:v>pm_peak</x:v>
      </x:c>
      <x:c r="C11" s="19" t="n">
        <x:v>2299</x:v>
      </x:c>
      <x:c r="D11" s="19" t="n">
        <x:v>2299</x:v>
      </x:c>
      <x:c r="E11" s="22" t="n">
        <x:v>1</x:v>
      </x:c>
      <x:c r="F11" s="22" t="n">
        <x:v>1</x:v>
      </x:c>
      <x:c r="G11" s="22" t="n">
        <x:v>1</x:v>
      </x:c>
      <x:c r="H11" s="22" t="n">
        <x:v>1</x:v>
      </x:c>
      <x:c r="I11" s="19" t="n">
        <x:v>2299</x:v>
      </x:c>
      <x:c r="J11" s="19" t="n">
        <x:v>1786</x:v>
      </x:c>
      <x:c r="K11" s="19" t="n">
        <x:v>8</x:v>
      </x:c>
      <x:c r="L11" s="19" t="n">
        <x:v>505</x:v>
      </x:c>
      <x:c r="M11" s="22" t="n">
        <x:v>1</x:v>
      </x:c>
      <x:c r="N11" s="29" t="n">
        <x:v>0</x:v>
      </x:c>
      <x:c r="O11" s="19" t="n">
        <x:v>0</x:v>
      </x:c>
      <x:c r="P11" s="19" t="n">
        <x:v>0</x:v>
      </x:c>
      <x:c r="Q11" s="19" t="n">
        <x:v>0</x:v>
      </x:c>
    </x:row>
    <x:row r="12" ht="28" customHeight="1">
      <x:c r="A12" s="19" t="n">
        <x:v>3</x:v>
      </x:c>
      <x:c r="B12" s="19" t="str">
        <x:v>am_peak</x:v>
      </x:c>
      <x:c r="C12" s="19" t="n">
        <x:v>3134</x:v>
      </x:c>
      <x:c r="D12" s="19" t="n">
        <x:v>3134</x:v>
      </x:c>
      <x:c r="E12" s="22" t="n">
        <x:v>1</x:v>
      </x:c>
      <x:c r="F12" s="22" t="n">
        <x:v>1</x:v>
      </x:c>
      <x:c r="G12" s="22" t="n">
        <x:v>1</x:v>
      </x:c>
      <x:c r="H12" s="22" t="n">
        <x:v>1</x:v>
      </x:c>
      <x:c r="I12" s="19" t="n">
        <x:v>3134</x:v>
      </x:c>
      <x:c r="J12" s="19" t="n">
        <x:v>3134</x:v>
      </x:c>
      <x:c r="K12" s="19" t="n">
        <x:v>0</x:v>
      </x:c>
      <x:c r="L12" s="19" t="n">
        <x:v>0</x:v>
      </x:c>
      <x:c r="M12" s="22" t="n">
        <x:v>1</x:v>
      </x:c>
      <x:c r="N12" s="22" t="n">
        <x:v>1</x:v>
      </x:c>
      <x:c r="O12" s="19" t="n">
        <x:v>0</x:v>
      </x:c>
      <x:c r="P12" s="19" t="n">
        <x:v>0</x:v>
      </x:c>
      <x:c r="Q12" s="19" t="n">
        <x:v>0</x:v>
      </x:c>
    </x:row>
    <x:row r="13" ht="28" customHeight="1">
      <x:c r="A13" s="19" t="n">
        <x:v>3</x:v>
      </x:c>
      <x:c r="B13" s="19" t="str">
        <x:v>offpeak</x:v>
      </x:c>
      <x:c r="C13" s="19" t="n">
        <x:v>1257</x:v>
      </x:c>
      <x:c r="D13" s="19" t="n">
        <x:v>1257</x:v>
      </x:c>
      <x:c r="E13" s="22" t="n">
        <x:v>1</x:v>
      </x:c>
      <x:c r="F13" s="22" t="n">
        <x:v>1</x:v>
      </x:c>
      <x:c r="G13" s="22" t="n">
        <x:v>1</x:v>
      </x:c>
      <x:c r="H13" s="22" t="n">
        <x:v>1</x:v>
      </x:c>
      <x:c r="I13" s="19" t="n">
        <x:v>1257</x:v>
      </x:c>
      <x:c r="J13" s="19" t="n">
        <x:v>1257</x:v>
      </x:c>
      <x:c r="K13" s="19" t="n">
        <x:v>0</x:v>
      </x:c>
      <x:c r="L13" s="19" t="n">
        <x:v>0</x:v>
      </x:c>
      <x:c r="M13" s="22" t="n">
        <x:v>1</x:v>
      </x:c>
      <x:c r="N13" s="22" t="n">
        <x:v>1</x:v>
      </x:c>
      <x:c r="O13" s="19" t="n">
        <x:v>0</x:v>
      </x:c>
      <x:c r="P13" s="19" t="n">
        <x:v>0</x:v>
      </x:c>
      <x:c r="Q13" s="19" t="n">
        <x:v>0</x:v>
      </x:c>
    </x:row>
    <x:row r="14" ht="28" customHeight="1">
      <x:c r="A14" s="19" t="n">
        <x:v>3</x:v>
      </x:c>
      <x:c r="B14" s="19" t="str">
        <x:v>pm_peak</x:v>
      </x:c>
      <x:c r="C14" s="19" t="n">
        <x:v>2824</x:v>
      </x:c>
      <x:c r="D14" s="19" t="n">
        <x:v>2824</x:v>
      </x:c>
      <x:c r="E14" s="22" t="n">
        <x:v>1</x:v>
      </x:c>
      <x:c r="F14" s="22" t="n">
        <x:v>1</x:v>
      </x:c>
      <x:c r="G14" s="22" t="n">
        <x:v>1</x:v>
      </x:c>
      <x:c r="H14" s="22" t="n">
        <x:v>1</x:v>
      </x:c>
      <x:c r="I14" s="19" t="n">
        <x:v>2824</x:v>
      </x:c>
      <x:c r="J14" s="19" t="n">
        <x:v>2824</x:v>
      </x:c>
      <x:c r="K14" s="19" t="n">
        <x:v>0</x:v>
      </x:c>
      <x:c r="L14" s="19" t="n">
        <x:v>0</x:v>
      </x:c>
      <x:c r="M14" s="22" t="n">
        <x:v>1</x:v>
      </x:c>
      <x:c r="N14" s="22" t="n">
        <x:v>1</x:v>
      </x:c>
      <x:c r="O14" s="19" t="n">
        <x:v>0</x:v>
      </x:c>
      <x:c r="P14" s="19" t="n">
        <x:v>0</x:v>
      </x:c>
      <x:c r="Q14" s="19" t="n">
        <x:v>0</x:v>
      </x:c>
    </x:row>
    <x:row r="15" ht="28" customHeight="1">
      <x:c r="A15" s="19" t="n">
        <x:v>4</x:v>
      </x:c>
      <x:c r="B15" s="19" t="str">
        <x:v>am_peak</x:v>
      </x:c>
      <x:c r="C15" s="19" t="n">
        <x:v>3413</x:v>
      </x:c>
      <x:c r="D15" s="19" t="n">
        <x:v>3413</x:v>
      </x:c>
      <x:c r="E15" s="22" t="n">
        <x:v>1</x:v>
      </x:c>
      <x:c r="F15" s="22" t="n">
        <x:v>1</x:v>
      </x:c>
      <x:c r="G15" s="22" t="n">
        <x:v>1</x:v>
      </x:c>
      <x:c r="H15" s="22" t="n">
        <x:v>1</x:v>
      </x:c>
      <x:c r="I15" s="19" t="n">
        <x:v>3413</x:v>
      </x:c>
      <x:c r="J15" s="19" t="n">
        <x:v>1841</x:v>
      </x:c>
      <x:c r="K15" s="19" t="n">
        <x:v>25</x:v>
      </x:c>
      <x:c r="L15" s="19" t="n">
        <x:v>1547</x:v>
      </x:c>
      <x:c r="M15" s="22" t="n">
        <x:v>1</x:v>
      </x:c>
      <x:c r="N15" s="29" t="n">
        <x:v>0</x:v>
      </x:c>
      <x:c r="O15" s="19" t="n">
        <x:v>0</x:v>
      </x:c>
      <x:c r="P15" s="19" t="n">
        <x:v>0</x:v>
      </x:c>
      <x:c r="Q15" s="19" t="n">
        <x:v>0</x:v>
      </x:c>
    </x:row>
    <x:row r="16" ht="28" customHeight="1">
      <x:c r="A16" s="19" t="n">
        <x:v>4</x:v>
      </x:c>
      <x:c r="B16" s="19" t="str">
        <x:v>offpeak</x:v>
      </x:c>
      <x:c r="C16" s="19" t="n">
        <x:v>1999</x:v>
      </x:c>
      <x:c r="D16" s="19" t="n">
        <x:v>1999</x:v>
      </x:c>
      <x:c r="E16" s="22" t="n">
        <x:v>1</x:v>
      </x:c>
      <x:c r="F16" s="22" t="n">
        <x:v>1</x:v>
      </x:c>
      <x:c r="G16" s="22" t="n">
        <x:v>1</x:v>
      </x:c>
      <x:c r="H16" s="22" t="n">
        <x:v>1</x:v>
      </x:c>
      <x:c r="I16" s="19" t="n">
        <x:v>1999</x:v>
      </x:c>
      <x:c r="J16" s="19" t="n">
        <x:v>1999</x:v>
      </x:c>
      <x:c r="K16" s="19" t="n">
        <x:v>0</x:v>
      </x:c>
      <x:c r="L16" s="19" t="n">
        <x:v>0</x:v>
      </x:c>
      <x:c r="M16" s="22" t="n">
        <x:v>1</x:v>
      </x:c>
      <x:c r="N16" s="22" t="n">
        <x:v>1</x:v>
      </x:c>
      <x:c r="O16" s="19" t="n">
        <x:v>0</x:v>
      </x:c>
      <x:c r="P16" s="19" t="n">
        <x:v>0</x:v>
      </x:c>
      <x:c r="Q16" s="19" t="n">
        <x:v>0</x:v>
      </x:c>
    </x:row>
    <x:row r="17" ht="28" customHeight="1">
      <x:c r="A17" s="19" t="n">
        <x:v>4</x:v>
      </x:c>
      <x:c r="B17" s="19" t="str">
        <x:v>pm_peak</x:v>
      </x:c>
      <x:c r="C17" s="19" t="n">
        <x:v>4073</x:v>
      </x:c>
      <x:c r="D17" s="19" t="n">
        <x:v>4073</x:v>
      </x:c>
      <x:c r="E17" s="22" t="n">
        <x:v>1</x:v>
      </x:c>
      <x:c r="F17" s="22" t="n">
        <x:v>1</x:v>
      </x:c>
      <x:c r="G17" s="22" t="n">
        <x:v>1</x:v>
      </x:c>
      <x:c r="H17" s="22" t="n">
        <x:v>1</x:v>
      </x:c>
      <x:c r="I17" s="19" t="n">
        <x:v>4073</x:v>
      </x:c>
      <x:c r="J17" s="19" t="n">
        <x:v>810</x:v>
      </x:c>
      <x:c r="K17" s="19" t="n">
        <x:v>28</x:v>
      </x:c>
      <x:c r="L17" s="19" t="n">
        <x:v>3235</x:v>
      </x:c>
      <x:c r="M17" s="22" t="n">
        <x:v>1</x:v>
      </x:c>
      <x:c r="N17" s="29" t="n">
        <x:v>0</x:v>
      </x:c>
      <x:c r="O17" s="19" t="n">
        <x:v>0</x:v>
      </x:c>
      <x:c r="P17" s="19" t="n">
        <x:v>0</x:v>
      </x:c>
      <x:c r="Q17" s="19" t="n">
        <x:v>0</x:v>
      </x:c>
    </x:row>
    <x:row r="18" ht="28" customHeight="1">
      <x:c r="A18" s="19" t="n">
        <x:v>5</x:v>
      </x:c>
      <x:c r="B18" s="19" t="str">
        <x:v>am_peak</x:v>
      </x:c>
      <x:c r="C18" s="19" t="n">
        <x:v>2438</x:v>
      </x:c>
      <x:c r="D18" s="19" t="n">
        <x:v>2438</x:v>
      </x:c>
      <x:c r="E18" s="22" t="n">
        <x:v>1</x:v>
      </x:c>
      <x:c r="F18" s="22" t="n">
        <x:v>1</x:v>
      </x:c>
      <x:c r="G18" s="22" t="n">
        <x:v>1</x:v>
      </x:c>
      <x:c r="H18" s="22" t="n">
        <x:v>1</x:v>
      </x:c>
      <x:c r="I18" s="19" t="n">
        <x:v>2438</x:v>
      </x:c>
      <x:c r="J18" s="19" t="n">
        <x:v>2438</x:v>
      </x:c>
      <x:c r="K18" s="19" t="n">
        <x:v>0</x:v>
      </x:c>
      <x:c r="L18" s="19" t="n">
        <x:v>0</x:v>
      </x:c>
      <x:c r="M18" s="22" t="n">
        <x:v>1</x:v>
      </x:c>
      <x:c r="N18" s="22" t="n">
        <x:v>1</x:v>
      </x:c>
      <x:c r="O18" s="19" t="n">
        <x:v>0</x:v>
      </x:c>
      <x:c r="P18" s="19" t="n">
        <x:v>0</x:v>
      </x:c>
      <x:c r="Q18" s="19" t="n">
        <x:v>0</x:v>
      </x:c>
    </x:row>
    <x:row r="19" ht="28" customHeight="1">
      <x:c r="A19" s="19" t="n">
        <x:v>5</x:v>
      </x:c>
      <x:c r="B19" s="19" t="str">
        <x:v>offpeak</x:v>
      </x:c>
      <x:c r="C19" s="19" t="n">
        <x:v>1988</x:v>
      </x:c>
      <x:c r="D19" s="19" t="n">
        <x:v>1988</x:v>
      </x:c>
      <x:c r="E19" s="22" t="n">
        <x:v>1</x:v>
      </x:c>
      <x:c r="F19" s="22" t="n">
        <x:v>1</x:v>
      </x:c>
      <x:c r="G19" s="22" t="n">
        <x:v>1</x:v>
      </x:c>
      <x:c r="H19" s="22" t="n">
        <x:v>1</x:v>
      </x:c>
      <x:c r="I19" s="19" t="n">
        <x:v>1988</x:v>
      </x:c>
      <x:c r="J19" s="19" t="n">
        <x:v>1988</x:v>
      </x:c>
      <x:c r="K19" s="19" t="n">
        <x:v>0</x:v>
      </x:c>
      <x:c r="L19" s="19" t="n">
        <x:v>0</x:v>
      </x:c>
      <x:c r="M19" s="22" t="n">
        <x:v>1</x:v>
      </x:c>
      <x:c r="N19" s="22" t="n">
        <x:v>1</x:v>
      </x:c>
      <x:c r="O19" s="19" t="n">
        <x:v>0</x:v>
      </x:c>
      <x:c r="P19" s="19" t="n">
        <x:v>0</x:v>
      </x:c>
      <x:c r="Q19" s="19" t="n">
        <x:v>0</x:v>
      </x:c>
    </x:row>
    <x:row r="20" ht="28" customHeight="1">
      <x:c r="A20" s="19" t="n">
        <x:v>5</x:v>
      </x:c>
      <x:c r="B20" s="19" t="str">
        <x:v>pm_peak</x:v>
      </x:c>
      <x:c r="C20" s="19" t="n">
        <x:v>4038</x:v>
      </x:c>
      <x:c r="D20" s="19" t="n">
        <x:v>4038</x:v>
      </x:c>
      <x:c r="E20" s="22" t="n">
        <x:v>1</x:v>
      </x:c>
      <x:c r="F20" s="22" t="n">
        <x:v>1</x:v>
      </x:c>
      <x:c r="G20" s="22" t="n">
        <x:v>1</x:v>
      </x:c>
      <x:c r="H20" s="22" t="n">
        <x:v>1</x:v>
      </x:c>
      <x:c r="I20" s="19" t="n">
        <x:v>4038</x:v>
      </x:c>
      <x:c r="J20" s="19" t="n">
        <x:v>3898</x:v>
      </x:c>
      <x:c r="K20" s="19" t="n">
        <x:v>30</x:v>
      </x:c>
      <x:c r="L20" s="19" t="n">
        <x:v>110</x:v>
      </x:c>
      <x:c r="M20" s="22" t="n">
        <x:v>1</x:v>
      </x:c>
      <x:c r="N20" s="29" t="n">
        <x:v>0</x:v>
      </x:c>
      <x:c r="O20" s="19" t="n">
        <x:v>0</x:v>
      </x:c>
      <x:c r="P20" s="19" t="n">
        <x:v>0</x:v>
      </x:c>
      <x:c r="Q20" s="19" t="n">
        <x:v>0</x:v>
      </x:c>
    </x:row>
    <x:row r="21" ht="28" customHeight="1">
      <x:c r="A21" s="19" t="n">
        <x:v>6</x:v>
      </x:c>
      <x:c r="B21" s="19" t="str">
        <x:v>am_peak</x:v>
      </x:c>
      <x:c r="C21" s="19" t="n">
        <x:v>4455</x:v>
      </x:c>
      <x:c r="D21" s="19" t="n">
        <x:v>4455</x:v>
      </x:c>
      <x:c r="E21" s="22" t="n">
        <x:v>1</x:v>
      </x:c>
      <x:c r="F21" s="22" t="n">
        <x:v>1</x:v>
      </x:c>
      <x:c r="G21" s="22" t="n">
        <x:v>1</x:v>
      </x:c>
      <x:c r="H21" s="29" t="n">
        <x:v>0</x:v>
      </x:c>
      <x:c r="I21" s="19" t="n">
        <x:v>4455</x:v>
      </x:c>
      <x:c r="J21" s="19" t="n">
        <x:v>4455</x:v>
      </x:c>
      <x:c r="K21" s="19" t="n">
        <x:v>0</x:v>
      </x:c>
      <x:c r="L21" s="19" t="n">
        <x:v>0</x:v>
      </x:c>
      <x:c r="M21" s="22" t="n">
        <x:v>1</x:v>
      </x:c>
      <x:c r="N21" s="22" t="n">
        <x:v>1</x:v>
      </x:c>
      <x:c r="O21" s="19" t="n">
        <x:v>0</x:v>
      </x:c>
      <x:c r="P21" s="19" t="n">
        <x:v>0</x:v>
      </x:c>
      <x:c r="Q21" s="19" t="n">
        <x:v>0</x:v>
      </x:c>
    </x:row>
    <x:row r="22" ht="28" customHeight="1">
      <x:c r="A22" s="19" t="n">
        <x:v>6</x:v>
      </x:c>
      <x:c r="B22" s="19" t="str">
        <x:v>offpeak</x:v>
      </x:c>
      <x:c r="C22" s="19" t="n">
        <x:v>3210</x:v>
      </x:c>
      <x:c r="D22" s="19" t="n">
        <x:v>3210</x:v>
      </x:c>
      <x:c r="E22" s="22" t="n">
        <x:v>1</x:v>
      </x:c>
      <x:c r="F22" s="22" t="n">
        <x:v>1</x:v>
      </x:c>
      <x:c r="G22" s="22" t="n">
        <x:v>1</x:v>
      </x:c>
      <x:c r="H22" s="29" t="n">
        <x:v>0</x:v>
      </x:c>
      <x:c r="I22" s="19" t="n">
        <x:v>3210</x:v>
      </x:c>
      <x:c r="J22" s="19" t="n">
        <x:v>3210</x:v>
      </x:c>
      <x:c r="K22" s="19" t="n">
        <x:v>0</x:v>
      </x:c>
      <x:c r="L22" s="19" t="n">
        <x:v>0</x:v>
      </x:c>
      <x:c r="M22" s="22" t="n">
        <x:v>1</x:v>
      </x:c>
      <x:c r="N22" s="22" t="n">
        <x:v>1</x:v>
      </x:c>
      <x:c r="O22" s="19" t="n">
        <x:v>0</x:v>
      </x:c>
      <x:c r="P22" s="19" t="n">
        <x:v>0</x:v>
      </x:c>
      <x:c r="Q22" s="19" t="n">
        <x:v>0</x:v>
      </x:c>
    </x:row>
    <x:row r="23" ht="28" customHeight="1">
      <x:c r="A23" s="19" t="n">
        <x:v>6</x:v>
      </x:c>
      <x:c r="B23" s="19" t="str">
        <x:v>pm_peak</x:v>
      </x:c>
      <x:c r="C23" s="19" t="n">
        <x:v>4909</x:v>
      </x:c>
      <x:c r="D23" s="19" t="n">
        <x:v>4909</x:v>
      </x:c>
      <x:c r="E23" s="22" t="n">
        <x:v>1</x:v>
      </x:c>
      <x:c r="F23" s="22" t="n">
        <x:v>1</x:v>
      </x:c>
      <x:c r="G23" s="22" t="n">
        <x:v>1</x:v>
      </x:c>
      <x:c r="H23" s="29" t="n">
        <x:v>0</x:v>
      </x:c>
      <x:c r="I23" s="19" t="n">
        <x:v>4909</x:v>
      </x:c>
      <x:c r="J23" s="19" t="n">
        <x:v>4909</x:v>
      </x:c>
      <x:c r="K23" s="19" t="n">
        <x:v>0</x:v>
      </x:c>
      <x:c r="L23" s="19" t="n">
        <x:v>0</x:v>
      </x:c>
      <x:c r="M23" s="22" t="n">
        <x:v>1</x:v>
      </x:c>
      <x:c r="N23" s="22" t="n">
        <x:v>1</x:v>
      </x:c>
      <x:c r="O23" s="19" t="n">
        <x:v>0</x:v>
      </x:c>
      <x:c r="P23" s="19" t="n">
        <x:v>0</x:v>
      </x:c>
      <x:c r="Q23" s="19" t="n">
        <x:v>0</x:v>
      </x:c>
    </x:row>
    <x:row r="24" ht="28" customHeight="1">
      <x:c r="A24" s="19" t="n">
        <x:v>7</x:v>
      </x:c>
      <x:c r="B24" s="19" t="str">
        <x:v>am_peak</x:v>
      </x:c>
      <x:c r="C24" s="19" t="n">
        <x:v>2950</x:v>
      </x:c>
      <x:c r="D24" s="19" t="n">
        <x:v>2950</x:v>
      </x:c>
      <x:c r="E24" s="22" t="n">
        <x:v>1</x:v>
      </x:c>
      <x:c r="F24" s="22" t="n">
        <x:v>1</x:v>
      </x:c>
      <x:c r="G24" s="22" t="n">
        <x:v>1</x:v>
      </x:c>
      <x:c r="H24" s="29" t="n">
        <x:v>0</x:v>
      </x:c>
      <x:c r="I24" s="19" t="n">
        <x:v>2950</x:v>
      </x:c>
      <x:c r="J24" s="19" t="n">
        <x:v>2446</x:v>
      </x:c>
      <x:c r="K24" s="19" t="n">
        <x:v>25</x:v>
      </x:c>
      <x:c r="L24" s="19" t="n">
        <x:v>479</x:v>
      </x:c>
      <x:c r="M24" s="22" t="n">
        <x:v>1</x:v>
      </x:c>
      <x:c r="N24" s="29" t="n">
        <x:v>0</x:v>
      </x:c>
      <x:c r="O24" s="19" t="n">
        <x:v>0</x:v>
      </x:c>
      <x:c r="P24" s="19" t="n">
        <x:v>0</x:v>
      </x:c>
      <x:c r="Q24" s="19" t="n">
        <x:v>0</x:v>
      </x:c>
    </x:row>
    <x:row r="25" ht="28" customHeight="1">
      <x:c r="A25" s="19" t="n">
        <x:v>7</x:v>
      </x:c>
      <x:c r="B25" s="19" t="str">
        <x:v>offpeak</x:v>
      </x:c>
      <x:c r="C25" s="19" t="n">
        <x:v>1990</x:v>
      </x:c>
      <x:c r="D25" s="19" t="n">
        <x:v>1990</x:v>
      </x:c>
      <x:c r="E25" s="22" t="n">
        <x:v>1</x:v>
      </x:c>
      <x:c r="F25" s="22" t="n">
        <x:v>1</x:v>
      </x:c>
      <x:c r="G25" s="22" t="n">
        <x:v>1</x:v>
      </x:c>
      <x:c r="H25" s="22" t="n">
        <x:v>1</x:v>
      </x:c>
      <x:c r="I25" s="19" t="n">
        <x:v>1990</x:v>
      </x:c>
      <x:c r="J25" s="19" t="n">
        <x:v>1932</x:v>
      </x:c>
      <x:c r="K25" s="19" t="n">
        <x:v>26</x:v>
      </x:c>
      <x:c r="L25" s="19" t="n">
        <x:v>32</x:v>
      </x:c>
      <x:c r="M25" s="22" t="n">
        <x:v>1</x:v>
      </x:c>
      <x:c r="N25" s="29" t="n">
        <x:v>0</x:v>
      </x:c>
      <x:c r="O25" s="19" t="n">
        <x:v>0</x:v>
      </x:c>
      <x:c r="P25" s="19" t="n">
        <x:v>0</x:v>
      </x:c>
      <x:c r="Q25" s="19" t="n">
        <x:v>0</x:v>
      </x:c>
    </x:row>
    <x:row r="26" ht="28" customHeight="1">
      <x:c r="A26" s="19" t="n">
        <x:v>7</x:v>
      </x:c>
      <x:c r="B26" s="19" t="str">
        <x:v>pm_peak</x:v>
      </x:c>
      <x:c r="C26" s="19" t="n">
        <x:v>4140</x:v>
      </x:c>
      <x:c r="D26" s="19" t="n">
        <x:v>4140</x:v>
      </x:c>
      <x:c r="E26" s="22" t="n">
        <x:v>1</x:v>
      </x:c>
      <x:c r="F26" s="22" t="n">
        <x:v>1</x:v>
      </x:c>
      <x:c r="G26" s="22" t="n">
        <x:v>1</x:v>
      </x:c>
      <x:c r="H26" s="22" t="n">
        <x:v>1</x:v>
      </x:c>
      <x:c r="I26" s="19" t="n">
        <x:v>4140</x:v>
      </x:c>
      <x:c r="J26" s="19" t="n">
        <x:v>2832</x:v>
      </x:c>
      <x:c r="K26" s="19" t="n">
        <x:v>64</x:v>
      </x:c>
      <x:c r="L26" s="19" t="n">
        <x:v>1244</x:v>
      </x:c>
      <x:c r="M26" s="22" t="n">
        <x:v>1</x:v>
      </x:c>
      <x:c r="N26" s="29" t="n">
        <x:v>0</x:v>
      </x:c>
      <x:c r="O26" s="19" t="n">
        <x:v>0</x:v>
      </x:c>
      <x:c r="P26" s="19" t="n">
        <x:v>0</x:v>
      </x:c>
      <x:c r="Q26" s="19" t="n">
        <x:v>0</x:v>
      </x:c>
    </x:row>
    <x:row r="27" ht="28" customHeight="1">
      <x:c r="A27" s="19" t="n">
        <x:v>8</x:v>
      </x:c>
      <x:c r="B27" s="19" t="str">
        <x:v>am_peak</x:v>
      </x:c>
      <x:c r="C27" s="19" t="n">
        <x:v>5090</x:v>
      </x:c>
      <x:c r="D27" s="19" t="n">
        <x:v>5090</x:v>
      </x:c>
      <x:c r="E27" s="22" t="n">
        <x:v>1</x:v>
      </x:c>
      <x:c r="F27" s="22" t="n">
        <x:v>1</x:v>
      </x:c>
      <x:c r="G27" s="22" t="n">
        <x:v>1</x:v>
      </x:c>
      <x:c r="H27" s="22" t="n">
        <x:v>1</x:v>
      </x:c>
      <x:c r="I27" s="19" t="n">
        <x:v>5090</x:v>
      </x:c>
      <x:c r="J27" s="19" t="n">
        <x:v>5068</x:v>
      </x:c>
      <x:c r="K27" s="19" t="n">
        <x:v>22</x:v>
      </x:c>
      <x:c r="L27" s="19" t="n">
        <x:v>0</x:v>
      </x:c>
      <x:c r="M27" s="22" t="n">
        <x:v>1</x:v>
      </x:c>
      <x:c r="N27" s="29" t="n">
        <x:v>0</x:v>
      </x:c>
      <x:c r="O27" s="19" t="n">
        <x:v>0</x:v>
      </x:c>
      <x:c r="P27" s="19" t="n">
        <x:v>0</x:v>
      </x:c>
      <x:c r="Q27" s="19" t="n">
        <x:v>0</x:v>
      </x:c>
    </x:row>
    <x:row r="28" ht="28" customHeight="1">
      <x:c r="A28" s="19" t="n">
        <x:v>8</x:v>
      </x:c>
      <x:c r="B28" s="19" t="str">
        <x:v>offpeak</x:v>
      </x:c>
      <x:c r="C28" s="19" t="n">
        <x:v>3636</x:v>
      </x:c>
      <x:c r="D28" s="19" t="n">
        <x:v>3636</x:v>
      </x:c>
      <x:c r="E28" s="22" t="n">
        <x:v>1</x:v>
      </x:c>
      <x:c r="F28" s="22" t="n">
        <x:v>1</x:v>
      </x:c>
      <x:c r="G28" s="22" t="n">
        <x:v>1</x:v>
      </x:c>
      <x:c r="H28" s="22" t="n">
        <x:v>1</x:v>
      </x:c>
      <x:c r="I28" s="19" t="n">
        <x:v>3636</x:v>
      </x:c>
      <x:c r="J28" s="19" t="n">
        <x:v>3636</x:v>
      </x:c>
      <x:c r="K28" s="19" t="n">
        <x:v>0</x:v>
      </x:c>
      <x:c r="L28" s="19" t="n">
        <x:v>0</x:v>
      </x:c>
      <x:c r="M28" s="22" t="n">
        <x:v>1</x:v>
      </x:c>
      <x:c r="N28" s="22" t="n">
        <x:v>1</x:v>
      </x:c>
      <x:c r="O28" s="19" t="n">
        <x:v>0</x:v>
      </x:c>
      <x:c r="P28" s="19" t="n">
        <x:v>0</x:v>
      </x:c>
      <x:c r="Q28" s="19" t="n">
        <x:v>0</x:v>
      </x:c>
    </x:row>
    <x:row r="29" ht="28" customHeight="1">
      <x:c r="A29" s="19" t="n">
        <x:v>8</x:v>
      </x:c>
      <x:c r="B29" s="19" t="str">
        <x:v>pm_peak</x:v>
      </x:c>
      <x:c r="C29" s="19" t="n">
        <x:v>5454</x:v>
      </x:c>
      <x:c r="D29" s="19" t="n">
        <x:v>5454</x:v>
      </x:c>
      <x:c r="E29" s="22" t="n">
        <x:v>1</x:v>
      </x:c>
      <x:c r="F29" s="22" t="n">
        <x:v>1</x:v>
      </x:c>
      <x:c r="G29" s="22" t="n">
        <x:v>1</x:v>
      </x:c>
      <x:c r="H29" s="22" t="n">
        <x:v>1</x:v>
      </x:c>
      <x:c r="I29" s="19" t="n">
        <x:v>5454</x:v>
      </x:c>
      <x:c r="J29" s="19" t="n">
        <x:v>5381</x:v>
      </x:c>
      <x:c r="K29" s="19" t="n">
        <x:v>27</x:v>
      </x:c>
      <x:c r="L29" s="19" t="n">
        <x:v>46</x:v>
      </x:c>
      <x:c r="M29" s="22" t="n">
        <x:v>1</x:v>
      </x:c>
      <x:c r="N29" s="29" t="n">
        <x:v>0</x:v>
      </x:c>
      <x:c r="O29" s="19" t="n">
        <x:v>0</x:v>
      </x:c>
      <x:c r="P29" s="19" t="n">
        <x:v>0</x:v>
      </x:c>
      <x:c r="Q29" s="19" t="n">
        <x:v>0</x:v>
      </x:c>
    </x:row>
    <x:row r="30" ht="28" customHeight="1">
      <x:c r="A30" s="19" t="n">
        <x:v>9</x:v>
      </x:c>
      <x:c r="B30" s="19" t="str">
        <x:v>am_peak</x:v>
      </x:c>
      <x:c r="C30" s="19" t="n">
        <x:v>3140</x:v>
      </x:c>
      <x:c r="D30" s="19" t="n">
        <x:v>3140</x:v>
      </x:c>
      <x:c r="E30" s="22" t="n">
        <x:v>1</x:v>
      </x:c>
      <x:c r="F30" s="22" t="n">
        <x:v>1</x:v>
      </x:c>
      <x:c r="G30" s="22" t="n">
        <x:v>1</x:v>
      </x:c>
      <x:c r="H30" s="22" t="n">
        <x:v>1</x:v>
      </x:c>
      <x:c r="I30" s="19" t="n">
        <x:v>3140</x:v>
      </x:c>
      <x:c r="J30" s="19" t="n">
        <x:v>3140</x:v>
      </x:c>
      <x:c r="K30" s="19" t="n">
        <x:v>0</x:v>
      </x:c>
      <x:c r="L30" s="19" t="n">
        <x:v>0</x:v>
      </x:c>
      <x:c r="M30" s="22" t="n">
        <x:v>1</x:v>
      </x:c>
      <x:c r="N30" s="22" t="n">
        <x:v>1</x:v>
      </x:c>
      <x:c r="O30" s="19" t="n">
        <x:v>0</x:v>
      </x:c>
      <x:c r="P30" s="19" t="n">
        <x:v>0</x:v>
      </x:c>
      <x:c r="Q30" s="19" t="n">
        <x:v>0</x:v>
      </x:c>
    </x:row>
    <x:row r="31" ht="28" customHeight="1">
      <x:c r="A31" s="19" t="n">
        <x:v>9</x:v>
      </x:c>
      <x:c r="B31" s="19" t="str">
        <x:v>offpeak</x:v>
      </x:c>
      <x:c r="C31" s="19" t="n">
        <x:v>1260</x:v>
      </x:c>
      <x:c r="D31" s="19" t="n">
        <x:v>1260</x:v>
      </x:c>
      <x:c r="E31" s="22" t="n">
        <x:v>1</x:v>
      </x:c>
      <x:c r="F31" s="22" t="n">
        <x:v>1</x:v>
      </x:c>
      <x:c r="G31" s="22" t="n">
        <x:v>1</x:v>
      </x:c>
      <x:c r="H31" s="22" t="n">
        <x:v>1</x:v>
      </x:c>
      <x:c r="I31" s="19" t="n">
        <x:v>1260</x:v>
      </x:c>
      <x:c r="J31" s="19" t="n">
        <x:v>1260</x:v>
      </x:c>
      <x:c r="K31" s="19" t="n">
        <x:v>0</x:v>
      </x:c>
      <x:c r="L31" s="19" t="n">
        <x:v>0</x:v>
      </x:c>
      <x:c r="M31" s="22" t="n">
        <x:v>1</x:v>
      </x:c>
      <x:c r="N31" s="22" t="n">
        <x:v>1</x:v>
      </x:c>
      <x:c r="O31" s="19" t="n">
        <x:v>0</x:v>
      </x:c>
      <x:c r="P31" s="19" t="n">
        <x:v>0</x:v>
      </x:c>
      <x:c r="Q31" s="19" t="n">
        <x:v>0</x:v>
      </x:c>
    </x:row>
    <x:row r="32" ht="28" customHeight="1">
      <x:c r="A32" s="19" t="n">
        <x:v>9</x:v>
      </x:c>
      <x:c r="B32" s="19" t="str">
        <x:v>pm_peak</x:v>
      </x:c>
      <x:c r="C32" s="19" t="n">
        <x:v>2822</x:v>
      </x:c>
      <x:c r="D32" s="19" t="n">
        <x:v>2822</x:v>
      </x:c>
      <x:c r="E32" s="22" t="n">
        <x:v>1</x:v>
      </x:c>
      <x:c r="F32" s="22" t="n">
        <x:v>1</x:v>
      </x:c>
      <x:c r="G32" s="22" t="n">
        <x:v>1</x:v>
      </x:c>
      <x:c r="H32" s="22" t="n">
        <x:v>1</x:v>
      </x:c>
      <x:c r="I32" s="19" t="n">
        <x:v>2822</x:v>
      </x:c>
      <x:c r="J32" s="19" t="n">
        <x:v>2822</x:v>
      </x:c>
      <x:c r="K32" s="19" t="n">
        <x:v>0</x:v>
      </x:c>
      <x:c r="L32" s="19" t="n">
        <x:v>0</x:v>
      </x:c>
      <x:c r="M32" s="22" t="n">
        <x:v>1</x:v>
      </x:c>
      <x:c r="N32" s="22" t="n">
        <x:v>1</x:v>
      </x:c>
      <x:c r="O32" s="19" t="n">
        <x:v>0</x:v>
      </x:c>
      <x:c r="P32" s="19" t="n">
        <x:v>0</x:v>
      </x:c>
      <x:c r="Q32" s="19" t="n">
        <x:v>0</x:v>
      </x:c>
    </x:row>
    <x:row r="33" ht="28" customHeight="1">
      <x:c r="A33" s="19" t="n">
        <x:v>10</x:v>
      </x:c>
      <x:c r="B33" s="19" t="str">
        <x:v>am_peak</x:v>
      </x:c>
      <x:c r="C33" s="19" t="n">
        <x:v>3609</x:v>
      </x:c>
      <x:c r="D33" s="19" t="n">
        <x:v>3609</x:v>
      </x:c>
      <x:c r="E33" s="22" t="n">
        <x:v>1</x:v>
      </x:c>
      <x:c r="F33" s="22" t="n">
        <x:v>1</x:v>
      </x:c>
      <x:c r="G33" s="22" t="n">
        <x:v>1</x:v>
      </x:c>
      <x:c r="H33" s="22" t="n">
        <x:v>1</x:v>
      </x:c>
      <x:c r="I33" s="19" t="n">
        <x:v>3609</x:v>
      </x:c>
      <x:c r="J33" s="19" t="n">
        <x:v>2577</x:v>
      </x:c>
      <x:c r="K33" s="19" t="n">
        <x:v>32</x:v>
      </x:c>
      <x:c r="L33" s="19" t="n">
        <x:v>1000</x:v>
      </x:c>
      <x:c r="M33" s="22" t="n">
        <x:v>1</x:v>
      </x:c>
      <x:c r="N33" s="29" t="n">
        <x:v>0</x:v>
      </x:c>
      <x:c r="O33" s="19" t="n">
        <x:v>0</x:v>
      </x:c>
      <x:c r="P33" s="19" t="n">
        <x:v>0</x:v>
      </x:c>
      <x:c r="Q33" s="19" t="n">
        <x:v>0</x:v>
      </x:c>
    </x:row>
    <x:row r="34" ht="28" customHeight="1">
      <x:c r="A34" s="19" t="n">
        <x:v>10</x:v>
      </x:c>
      <x:c r="B34" s="19" t="str">
        <x:v>offpeak</x:v>
      </x:c>
      <x:c r="C34" s="19" t="n">
        <x:v>1884</x:v>
      </x:c>
      <x:c r="D34" s="19" t="n">
        <x:v>1884</x:v>
      </x:c>
      <x:c r="E34" s="22" t="n">
        <x:v>1</x:v>
      </x:c>
      <x:c r="F34" s="22" t="n">
        <x:v>1</x:v>
      </x:c>
      <x:c r="G34" s="22" t="n">
        <x:v>1</x:v>
      </x:c>
      <x:c r="H34" s="22" t="n">
        <x:v>1</x:v>
      </x:c>
      <x:c r="I34" s="19" t="n">
        <x:v>1884</x:v>
      </x:c>
      <x:c r="J34" s="19" t="n">
        <x:v>1570</x:v>
      </x:c>
      <x:c r="K34" s="19" t="n">
        <x:v>32</x:v>
      </x:c>
      <x:c r="L34" s="19" t="n">
        <x:v>282</x:v>
      </x:c>
      <x:c r="M34" s="22" t="n">
        <x:v>1</x:v>
      </x:c>
      <x:c r="N34" s="29" t="n">
        <x:v>0</x:v>
      </x:c>
      <x:c r="O34" s="19" t="n">
        <x:v>0</x:v>
      </x:c>
      <x:c r="P34" s="19" t="n">
        <x:v>0</x:v>
      </x:c>
      <x:c r="Q34" s="19" t="n">
        <x:v>0</x:v>
      </x:c>
    </x:row>
    <x:row r="35" ht="28" customHeight="1">
      <x:c r="A35" s="19" t="n">
        <x:v>10</x:v>
      </x:c>
      <x:c r="B35" s="19" t="str">
        <x:v>pm_peak</x:v>
      </x:c>
      <x:c r="C35" s="19" t="n">
        <x:v>3711</x:v>
      </x:c>
      <x:c r="D35" s="19" t="n">
        <x:v>3711</x:v>
      </x:c>
      <x:c r="E35" s="22" t="n">
        <x:v>1</x:v>
      </x:c>
      <x:c r="F35" s="22" t="n">
        <x:v>1</x:v>
      </x:c>
      <x:c r="G35" s="22" t="n">
        <x:v>1</x:v>
      </x:c>
      <x:c r="H35" s="22" t="n">
        <x:v>1</x:v>
      </x:c>
      <x:c r="I35" s="19" t="n">
        <x:v>3711</x:v>
      </x:c>
      <x:c r="J35" s="19" t="n">
        <x:v>2914</x:v>
      </x:c>
      <x:c r="K35" s="19" t="n">
        <x:v>32</x:v>
      </x:c>
      <x:c r="L35" s="19" t="n">
        <x:v>765</x:v>
      </x:c>
      <x:c r="M35" s="22" t="n">
        <x:v>1</x:v>
      </x:c>
      <x:c r="N35" s="29" t="n">
        <x:v>0</x:v>
      </x:c>
      <x:c r="O35" s="19" t="n">
        <x:v>0</x:v>
      </x:c>
      <x:c r="P35" s="19" t="n">
        <x:v>0</x:v>
      </x:c>
      <x:c r="Q35" s="19" t="n">
        <x:v>0</x:v>
      </x:c>
    </x:row>
    <x:row r="36" ht="28" customHeight="1">
      <x:c r="A36" s="19" t="n">
        <x:v>11</x:v>
      </x:c>
      <x:c r="B36" s="19" t="str">
        <x:v>am_peak</x:v>
      </x:c>
      <x:c r="C36" s="19" t="n">
        <x:v>5962</x:v>
      </x:c>
      <x:c r="D36" s="19" t="n">
        <x:v>5962</x:v>
      </x:c>
      <x:c r="E36" s="22" t="n">
        <x:v>1</x:v>
      </x:c>
      <x:c r="F36" s="22" t="n">
        <x:v>1</x:v>
      </x:c>
      <x:c r="G36" s="22" t="n">
        <x:v>1</x:v>
      </x:c>
      <x:c r="H36" s="22" t="n">
        <x:v>1</x:v>
      </x:c>
      <x:c r="I36" s="19" t="n">
        <x:v>5962</x:v>
      </x:c>
      <x:c r="J36" s="19" t="n">
        <x:v>3154</x:v>
      </x:c>
      <x:c r="K36" s="19" t="n">
        <x:v>192</x:v>
      </x:c>
      <x:c r="L36" s="19" t="n">
        <x:v>2616</x:v>
      </x:c>
      <x:c r="M36" s="22" t="n">
        <x:v>1</x:v>
      </x:c>
      <x:c r="N36" s="29" t="n">
        <x:v>0</x:v>
      </x:c>
      <x:c r="O36" s="19" t="n">
        <x:v>0</x:v>
      </x:c>
      <x:c r="P36" s="19" t="n">
        <x:v>0</x:v>
      </x:c>
      <x:c r="Q36" s="19" t="n">
        <x:v>0</x:v>
      </x:c>
    </x:row>
    <x:row r="37" ht="28" customHeight="1">
      <x:c r="A37" s="19" t="n">
        <x:v>11</x:v>
      </x:c>
      <x:c r="B37" s="19" t="str">
        <x:v>offpeak</x:v>
      </x:c>
      <x:c r="C37" s="19" t="n">
        <x:v>5180</x:v>
      </x:c>
      <x:c r="D37" s="19" t="n">
        <x:v>5180</x:v>
      </x:c>
      <x:c r="E37" s="22" t="n">
        <x:v>1</x:v>
      </x:c>
      <x:c r="F37" s="22" t="n">
        <x:v>1</x:v>
      </x:c>
      <x:c r="G37" s="22" t="n">
        <x:v>1</x:v>
      </x:c>
      <x:c r="H37" s="29" t="n">
        <x:v>0</x:v>
      </x:c>
      <x:c r="I37" s="19" t="n">
        <x:v>5180</x:v>
      </x:c>
      <x:c r="J37" s="19" t="n">
        <x:v>3385</x:v>
      </x:c>
      <x:c r="K37" s="19" t="n">
        <x:v>71</x:v>
      </x:c>
      <x:c r="L37" s="19" t="n">
        <x:v>1724</x:v>
      </x:c>
      <x:c r="M37" s="22" t="n">
        <x:v>1</x:v>
      </x:c>
      <x:c r="N37" s="29" t="n">
        <x:v>0</x:v>
      </x:c>
      <x:c r="O37" s="19" t="n">
        <x:v>0</x:v>
      </x:c>
      <x:c r="P37" s="19" t="n">
        <x:v>0</x:v>
      </x:c>
      <x:c r="Q37" s="19" t="n">
        <x:v>0</x:v>
      </x:c>
    </x:row>
    <x:row r="38" ht="28" customHeight="1">
      <x:c r="A38" s="19" t="n">
        <x:v>11</x:v>
      </x:c>
      <x:c r="B38" s="19" t="str">
        <x:v>pm_peak</x:v>
      </x:c>
      <x:c r="C38" s="19" t="n">
        <x:v>6881</x:v>
      </x:c>
      <x:c r="D38" s="19" t="n">
        <x:v>6881</x:v>
      </x:c>
      <x:c r="E38" s="22" t="n">
        <x:v>1</x:v>
      </x:c>
      <x:c r="F38" s="22" t="n">
        <x:v>1</x:v>
      </x:c>
      <x:c r="G38" s="22" t="n">
        <x:v>1</x:v>
      </x:c>
      <x:c r="H38" s="29" t="n">
        <x:v>0</x:v>
      </x:c>
      <x:c r="I38" s="19" t="n">
        <x:v>6881</x:v>
      </x:c>
      <x:c r="J38" s="19" t="n">
        <x:v>3086</x:v>
      </x:c>
      <x:c r="K38" s="19" t="n">
        <x:v>188</x:v>
      </x:c>
      <x:c r="L38" s="19" t="n">
        <x:v>3607</x:v>
      </x:c>
      <x:c r="M38" s="22" t="n">
        <x:v>1</x:v>
      </x:c>
      <x:c r="N38" s="29" t="n">
        <x:v>0</x:v>
      </x:c>
      <x:c r="O38" s="19" t="n">
        <x:v>0</x:v>
      </x:c>
      <x:c r="P38" s="19" t="n">
        <x:v>0</x:v>
      </x:c>
      <x:c r="Q38" s="19" t="n">
        <x:v>0</x:v>
      </x:c>
    </x:row>
    <x:row r="39" ht="28" customHeight="1">
      <x:c r="A39" s="19" t="n">
        <x:v>12</x:v>
      </x:c>
      <x:c r="B39" s="19" t="str">
        <x:v>am_peak</x:v>
      </x:c>
      <x:c r="C39" s="19" t="n">
        <x:v>5013</x:v>
      </x:c>
      <x:c r="D39" s="19" t="n">
        <x:v>5013</x:v>
      </x:c>
      <x:c r="E39" s="22" t="n">
        <x:v>1</x:v>
      </x:c>
      <x:c r="F39" s="22" t="n">
        <x:v>1</x:v>
      </x:c>
      <x:c r="G39" s="22" t="n">
        <x:v>1</x:v>
      </x:c>
      <x:c r="H39" s="22" t="n">
        <x:v>1</x:v>
      </x:c>
      <x:c r="I39" s="19" t="n">
        <x:v>5013</x:v>
      </x:c>
      <x:c r="J39" s="19" t="n">
        <x:v>4916</x:v>
      </x:c>
      <x:c r="K39" s="19" t="n">
        <x:v>65</x:v>
      </x:c>
      <x:c r="L39" s="19" t="n">
        <x:v>32</x:v>
      </x:c>
      <x:c r="M39" s="22" t="n">
        <x:v>1</x:v>
      </x:c>
      <x:c r="N39" s="29" t="n">
        <x:v>0</x:v>
      </x:c>
      <x:c r="O39" s="19" t="n">
        <x:v>0</x:v>
      </x:c>
      <x:c r="P39" s="19" t="n">
        <x:v>0</x:v>
      </x:c>
      <x:c r="Q39" s="19" t="n">
        <x:v>0</x:v>
      </x:c>
    </x:row>
    <x:row r="40" ht="28" customHeight="1">
      <x:c r="A40" s="19" t="n">
        <x:v>12</x:v>
      </x:c>
      <x:c r="B40" s="19" t="str">
        <x:v>offpeak</x:v>
      </x:c>
      <x:c r="C40" s="19" t="n">
        <x:v>1906</x:v>
      </x:c>
      <x:c r="D40" s="19" t="n">
        <x:v>1906</x:v>
      </x:c>
      <x:c r="E40" s="22" t="n">
        <x:v>1</x:v>
      </x:c>
      <x:c r="F40" s="22" t="n">
        <x:v>1</x:v>
      </x:c>
      <x:c r="G40" s="22" t="n">
        <x:v>1</x:v>
      </x:c>
      <x:c r="H40" s="29" t="n">
        <x:v>0</x:v>
      </x:c>
      <x:c r="I40" s="19" t="n">
        <x:v>1906</x:v>
      </x:c>
      <x:c r="J40" s="19" t="n">
        <x:v>1906</x:v>
      </x:c>
      <x:c r="K40" s="19" t="n">
        <x:v>0</x:v>
      </x:c>
      <x:c r="L40" s="19" t="n">
        <x:v>0</x:v>
      </x:c>
      <x:c r="M40" s="22" t="n">
        <x:v>1</x:v>
      </x:c>
      <x:c r="N40" s="22" t="n">
        <x:v>1</x:v>
      </x:c>
      <x:c r="O40" s="19" t="n">
        <x:v>0</x:v>
      </x:c>
      <x:c r="P40" s="19" t="n">
        <x:v>0</x:v>
      </x:c>
      <x:c r="Q40" s="19" t="n">
        <x:v>0</x:v>
      </x:c>
    </x:row>
    <x:row r="41" ht="28" customHeight="1">
      <x:c r="A41" s="19" t="n">
        <x:v>12</x:v>
      </x:c>
      <x:c r="B41" s="19" t="str">
        <x:v>pm_peak</x:v>
      </x:c>
      <x:c r="C41" s="19" t="n">
        <x:v>4412</x:v>
      </x:c>
      <x:c r="D41" s="19" t="n">
        <x:v>4412</x:v>
      </x:c>
      <x:c r="E41" s="22" t="n">
        <x:v>1</x:v>
      </x:c>
      <x:c r="F41" s="22" t="n">
        <x:v>1</x:v>
      </x:c>
      <x:c r="G41" s="22" t="n">
        <x:v>1</x:v>
      </x:c>
      <x:c r="H41" s="29" t="n">
        <x:v>0</x:v>
      </x:c>
      <x:c r="I41" s="19" t="n">
        <x:v>4412</x:v>
      </x:c>
      <x:c r="J41" s="19" t="n">
        <x:v>4396</x:v>
      </x:c>
      <x:c r="K41" s="19" t="n">
        <x:v>16</x:v>
      </x:c>
      <x:c r="L41" s="19" t="n">
        <x:v>0</x:v>
      </x:c>
      <x:c r="M41" s="22" t="n">
        <x:v>1</x:v>
      </x:c>
      <x:c r="N41" s="29" t="n">
        <x:v>0</x:v>
      </x:c>
      <x:c r="O41" s="19" t="n">
        <x:v>0</x:v>
      </x:c>
      <x:c r="P41" s="19" t="n">
        <x:v>0</x:v>
      </x:c>
      <x:c r="Q41" s="19" t="n">
        <x:v>0</x:v>
      </x:c>
    </x:row>
    <x:row r="42" ht="28" customHeight="1">
      <x:c r="A42" s="19" t="n">
        <x:v>13</x:v>
      </x:c>
      <x:c r="B42" s="19" t="str">
        <x:v>am_peak</x:v>
      </x:c>
      <x:c r="C42" s="19" t="n">
        <x:v>3087</x:v>
      </x:c>
      <x:c r="D42" s="19" t="n">
        <x:v>3087</x:v>
      </x:c>
      <x:c r="E42" s="22" t="n">
        <x:v>1</x:v>
      </x:c>
      <x:c r="F42" s="22" t="n">
        <x:v>1</x:v>
      </x:c>
      <x:c r="G42" s="22" t="n">
        <x:v>1</x:v>
      </x:c>
      <x:c r="H42" s="22" t="n">
        <x:v>1</x:v>
      </x:c>
      <x:c r="I42" s="19" t="n">
        <x:v>3087</x:v>
      </x:c>
      <x:c r="J42" s="19" t="n">
        <x:v>2776</x:v>
      </x:c>
      <x:c r="K42" s="19" t="n">
        <x:v>31</x:v>
      </x:c>
      <x:c r="L42" s="19" t="n">
        <x:v>280</x:v>
      </x:c>
      <x:c r="M42" s="22" t="n">
        <x:v>1</x:v>
      </x:c>
      <x:c r="N42" s="29" t="n">
        <x:v>0</x:v>
      </x:c>
      <x:c r="O42" s="19" t="n">
        <x:v>0</x:v>
      </x:c>
      <x:c r="P42" s="19" t="n">
        <x:v>0</x:v>
      </x:c>
      <x:c r="Q42" s="19" t="n">
        <x:v>0</x:v>
      </x:c>
    </x:row>
    <x:row r="43" ht="28" customHeight="1">
      <x:c r="A43" s="19" t="n">
        <x:v>13</x:v>
      </x:c>
      <x:c r="B43" s="19" t="str">
        <x:v>offpeak</x:v>
      </x:c>
      <x:c r="C43" s="19" t="n">
        <x:v>2750</x:v>
      </x:c>
      <x:c r="D43" s="19" t="n">
        <x:v>2750</x:v>
      </x:c>
      <x:c r="E43" s="22" t="n">
        <x:v>1</x:v>
      </x:c>
      <x:c r="F43" s="22" t="n">
        <x:v>1</x:v>
      </x:c>
      <x:c r="G43" s="22" t="n">
        <x:v>1</x:v>
      </x:c>
      <x:c r="H43" s="22" t="n">
        <x:v>1</x:v>
      </x:c>
      <x:c r="I43" s="19" t="n">
        <x:v>2750</x:v>
      </x:c>
      <x:c r="J43" s="19" t="n">
        <x:v>2750</x:v>
      </x:c>
      <x:c r="K43" s="19" t="n">
        <x:v>0</x:v>
      </x:c>
      <x:c r="L43" s="19" t="n">
        <x:v>0</x:v>
      </x:c>
      <x:c r="M43" s="22" t="n">
        <x:v>1</x:v>
      </x:c>
      <x:c r="N43" s="22" t="n">
        <x:v>1</x:v>
      </x:c>
      <x:c r="O43" s="19" t="n">
        <x:v>0</x:v>
      </x:c>
      <x:c r="P43" s="19" t="n">
        <x:v>0</x:v>
      </x:c>
      <x:c r="Q43" s="19" t="n">
        <x:v>0</x:v>
      </x:c>
    </x:row>
    <x:row r="44" ht="28" customHeight="1">
      <x:c r="A44" s="19" t="n">
        <x:v>13</x:v>
      </x:c>
      <x:c r="B44" s="19" t="str">
        <x:v>pm_peak</x:v>
      </x:c>
      <x:c r="C44" s="19" t="n">
        <x:v>3786</x:v>
      </x:c>
      <x:c r="D44" s="19" t="n">
        <x:v>3786</x:v>
      </x:c>
      <x:c r="E44" s="22" t="n">
        <x:v>1</x:v>
      </x:c>
      <x:c r="F44" s="22" t="n">
        <x:v>1</x:v>
      </x:c>
      <x:c r="G44" s="22" t="n">
        <x:v>1</x:v>
      </x:c>
      <x:c r="H44" s="22" t="n">
        <x:v>1</x:v>
      </x:c>
      <x:c r="I44" s="19" t="n">
        <x:v>3786</x:v>
      </x:c>
      <x:c r="J44" s="19" t="n">
        <x:v>3255</x:v>
      </x:c>
      <x:c r="K44" s="19" t="n">
        <x:v>31</x:v>
      </x:c>
      <x:c r="L44" s="19" t="n">
        <x:v>500</x:v>
      </x:c>
      <x:c r="M44" s="22" t="n">
        <x:v>1</x:v>
      </x:c>
      <x:c r="N44" s="29" t="n">
        <x:v>0</x:v>
      </x:c>
      <x:c r="O44" s="19" t="n">
        <x:v>0</x:v>
      </x:c>
      <x:c r="P44" s="19" t="n">
        <x:v>0</x:v>
      </x:c>
      <x:c r="Q44" s="19" t="n">
        <x:v>0</x:v>
      </x:c>
    </x:row>
    <x:row r="45" ht="28" customHeight="1">
      <x:c r="A45" s="19" t="n">
        <x:v>14</x:v>
      </x:c>
      <x:c r="B45" s="19" t="str">
        <x:v>am_peak</x:v>
      </x:c>
      <x:c r="C45" s="19" t="n">
        <x:v>3406</x:v>
      </x:c>
      <x:c r="D45" s="19" t="n">
        <x:v>3406</x:v>
      </x:c>
      <x:c r="E45" s="22" t="n">
        <x:v>1</x:v>
      </x:c>
      <x:c r="F45" s="22" t="n">
        <x:v>1</x:v>
      </x:c>
      <x:c r="G45" s="22" t="n">
        <x:v>1</x:v>
      </x:c>
      <x:c r="H45" s="22" t="n">
        <x:v>1</x:v>
      </x:c>
      <x:c r="I45" s="19" t="n">
        <x:v>3406</x:v>
      </x:c>
      <x:c r="J45" s="19" t="n">
        <x:v>2419</x:v>
      </x:c>
      <x:c r="K45" s="19" t="n">
        <x:v>64</x:v>
      </x:c>
      <x:c r="L45" s="19" t="n">
        <x:v>923</x:v>
      </x:c>
      <x:c r="M45" s="22" t="n">
        <x:v>1</x:v>
      </x:c>
      <x:c r="N45" s="29" t="n">
        <x:v>0</x:v>
      </x:c>
      <x:c r="O45" s="19" t="n">
        <x:v>0</x:v>
      </x:c>
      <x:c r="P45" s="19" t="n">
        <x:v>0</x:v>
      </x:c>
      <x:c r="Q45" s="19" t="n">
        <x:v>0</x:v>
      </x:c>
    </x:row>
    <x:row r="46" ht="28" customHeight="1">
      <x:c r="A46" s="19" t="n">
        <x:v>14</x:v>
      </x:c>
      <x:c r="B46" s="19" t="str">
        <x:v>offpeak</x:v>
      </x:c>
      <x:c r="C46" s="19" t="n">
        <x:v>2792</x:v>
      </x:c>
      <x:c r="D46" s="19" t="n">
        <x:v>2792</x:v>
      </x:c>
      <x:c r="E46" s="22" t="n">
        <x:v>1</x:v>
      </x:c>
      <x:c r="F46" s="22" t="n">
        <x:v>1</x:v>
      </x:c>
      <x:c r="G46" s="22" t="n">
        <x:v>1</x:v>
      </x:c>
      <x:c r="H46" s="22" t="n">
        <x:v>1</x:v>
      </x:c>
      <x:c r="I46" s="19" t="n">
        <x:v>2792</x:v>
      </x:c>
      <x:c r="J46" s="19" t="n">
        <x:v>1874</x:v>
      </x:c>
      <x:c r="K46" s="19" t="n">
        <x:v>32</x:v>
      </x:c>
      <x:c r="L46" s="19" t="n">
        <x:v>886</x:v>
      </x:c>
      <x:c r="M46" s="22" t="n">
        <x:v>1</x:v>
      </x:c>
      <x:c r="N46" s="29" t="n">
        <x:v>0</x:v>
      </x:c>
      <x:c r="O46" s="19" t="n">
        <x:v>0</x:v>
      </x:c>
      <x:c r="P46" s="19" t="n">
        <x:v>0</x:v>
      </x:c>
      <x:c r="Q46" s="19" t="n">
        <x:v>0</x:v>
      </x:c>
    </x:row>
    <x:row r="47" ht="28" customHeight="1">
      <x:c r="A47" s="19" t="n">
        <x:v>14</x:v>
      </x:c>
      <x:c r="B47" s="19" t="str">
        <x:v>pm_peak</x:v>
      </x:c>
      <x:c r="C47" s="19" t="n">
        <x:v>3644</x:v>
      </x:c>
      <x:c r="D47" s="19" t="n">
        <x:v>3644</x:v>
      </x:c>
      <x:c r="E47" s="22" t="n">
        <x:v>1</x:v>
      </x:c>
      <x:c r="F47" s="22" t="n">
        <x:v>1</x:v>
      </x:c>
      <x:c r="G47" s="22" t="n">
        <x:v>1</x:v>
      </x:c>
      <x:c r="H47" s="22" t="n">
        <x:v>1</x:v>
      </x:c>
      <x:c r="I47" s="19" t="n">
        <x:v>3644</x:v>
      </x:c>
      <x:c r="J47" s="19" t="n">
        <x:v>2005</x:v>
      </x:c>
      <x:c r="K47" s="19" t="n">
        <x:v>64</x:v>
      </x:c>
      <x:c r="L47" s="19" t="n">
        <x:v>1575</x:v>
      </x:c>
      <x:c r="M47" s="22" t="n">
        <x:v>1</x:v>
      </x:c>
      <x:c r="N47" s="29" t="n">
        <x:v>0</x:v>
      </x:c>
      <x:c r="O47" s="19" t="n">
        <x:v>0</x:v>
      </x:c>
      <x:c r="P47" s="19" t="n">
        <x:v>0</x:v>
      </x:c>
      <x:c r="Q47" s="19" t="n">
        <x:v>0</x:v>
      </x:c>
    </x:row>
    <x:row r="48" ht="28" customHeight="1">
      <x:c r="A48" s="19" t="n">
        <x:v>15</x:v>
      </x:c>
      <x:c r="B48" s="19" t="str">
        <x:v>am_peak</x:v>
      </x:c>
      <x:c r="C48" s="19" t="n">
        <x:v>5878</x:v>
      </x:c>
      <x:c r="D48" s="19" t="n">
        <x:v>5878</x:v>
      </x:c>
      <x:c r="E48" s="22" t="n">
        <x:v>1</x:v>
      </x:c>
      <x:c r="F48" s="22" t="n">
        <x:v>1</x:v>
      </x:c>
      <x:c r="G48" s="22" t="n">
        <x:v>1</x:v>
      </x:c>
      <x:c r="H48" s="22" t="n">
        <x:v>1</x:v>
      </x:c>
      <x:c r="I48" s="19" t="n">
        <x:v>5878</x:v>
      </x:c>
      <x:c r="J48" s="19" t="n">
        <x:v>5878</x:v>
      </x:c>
      <x:c r="K48" s="19" t="n">
        <x:v>0</x:v>
      </x:c>
      <x:c r="L48" s="19" t="n">
        <x:v>0</x:v>
      </x:c>
      <x:c r="M48" s="22" t="n">
        <x:v>1</x:v>
      </x:c>
      <x:c r="N48" s="22" t="n">
        <x:v>1</x:v>
      </x:c>
      <x:c r="O48" s="19" t="n">
        <x:v>0</x:v>
      </x:c>
      <x:c r="P48" s="19" t="n">
        <x:v>0</x:v>
      </x:c>
      <x:c r="Q48" s="19" t="n">
        <x:v>0</x:v>
      </x:c>
    </x:row>
    <x:row r="49" ht="28" customHeight="1">
      <x:c r="A49" s="19" t="n">
        <x:v>15</x:v>
      </x:c>
      <x:c r="B49" s="19" t="str">
        <x:v>offpeak</x:v>
      </x:c>
      <x:c r="C49" s="19" t="n">
        <x:v>5281</x:v>
      </x:c>
      <x:c r="D49" s="19" t="n">
        <x:v>5281</x:v>
      </x:c>
      <x:c r="E49" s="22" t="n">
        <x:v>1</x:v>
      </x:c>
      <x:c r="F49" s="22" t="n">
        <x:v>1</x:v>
      </x:c>
      <x:c r="G49" s="22" t="n">
        <x:v>1</x:v>
      </x:c>
      <x:c r="H49" s="29" t="n">
        <x:v>0</x:v>
      </x:c>
      <x:c r="I49" s="19" t="n">
        <x:v>5281</x:v>
      </x:c>
      <x:c r="J49" s="19" t="n">
        <x:v>5281</x:v>
      </x:c>
      <x:c r="K49" s="19" t="n">
        <x:v>0</x:v>
      </x:c>
      <x:c r="L49" s="19" t="n">
        <x:v>0</x:v>
      </x:c>
      <x:c r="M49" s="22" t="n">
        <x:v>1</x:v>
      </x:c>
      <x:c r="N49" s="22" t="n">
        <x:v>1</x:v>
      </x:c>
      <x:c r="O49" s="19" t="n">
        <x:v>0</x:v>
      </x:c>
      <x:c r="P49" s="19" t="n">
        <x:v>0</x:v>
      </x:c>
      <x:c r="Q49" s="19" t="n">
        <x:v>0</x:v>
      </x:c>
    </x:row>
    <x:row r="50" ht="28" customHeight="1">
      <x:c r="A50" s="19" t="n">
        <x:v>15</x:v>
      </x:c>
      <x:c r="B50" s="19" t="str">
        <x:v>pm_peak</x:v>
      </x:c>
      <x:c r="C50" s="19" t="n">
        <x:v>6405</x:v>
      </x:c>
      <x:c r="D50" s="19" t="n">
        <x:v>6405</x:v>
      </x:c>
      <x:c r="E50" s="22" t="n">
        <x:v>1</x:v>
      </x:c>
      <x:c r="F50" s="22" t="n">
        <x:v>1</x:v>
      </x:c>
      <x:c r="G50" s="22" t="n">
        <x:v>1</x:v>
      </x:c>
      <x:c r="H50" s="29" t="n">
        <x:v>0</x:v>
      </x:c>
      <x:c r="I50" s="19" t="n">
        <x:v>6405</x:v>
      </x:c>
      <x:c r="J50" s="19" t="n">
        <x:v>6285</x:v>
      </x:c>
      <x:c r="K50" s="19" t="n">
        <x:v>28</x:v>
      </x:c>
      <x:c r="L50" s="19" t="n">
        <x:v>92</x:v>
      </x:c>
      <x:c r="M50" s="22" t="n">
        <x:v>1</x:v>
      </x:c>
      <x:c r="N50" s="29" t="n">
        <x:v>0</x:v>
      </x:c>
      <x:c r="O50" s="19" t="n">
        <x:v>0</x:v>
      </x:c>
      <x:c r="P50" s="19" t="n">
        <x:v>0</x:v>
      </x:c>
      <x:c r="Q50" s="19" t="n">
        <x:v>0</x:v>
      </x:c>
    </x:row>
    <x:row r="51" ht="28" customHeight="1">
      <x:c r="A51" s="19" t="n">
        <x:v>16</x:v>
      </x:c>
      <x:c r="B51" s="19" t="str">
        <x:v>am_peak</x:v>
      </x:c>
      <x:c r="C51" s="19" t="n">
        <x:v>4992</x:v>
      </x:c>
      <x:c r="D51" s="19" t="n">
        <x:v>4992</x:v>
      </x:c>
      <x:c r="E51" s="22" t="n">
        <x:v>1</x:v>
      </x:c>
      <x:c r="F51" s="22" t="n">
        <x:v>1</x:v>
      </x:c>
      <x:c r="G51" s="22" t="n">
        <x:v>1</x:v>
      </x:c>
      <x:c r="H51" s="29" t="n">
        <x:v>0</x:v>
      </x:c>
      <x:c r="I51" s="19" t="n">
        <x:v>4992</x:v>
      </x:c>
      <x:c r="J51" s="19" t="n">
        <x:v>4992</x:v>
      </x:c>
      <x:c r="K51" s="19" t="n">
        <x:v>0</x:v>
      </x:c>
      <x:c r="L51" s="19" t="n">
        <x:v>0</x:v>
      </x:c>
      <x:c r="M51" s="22" t="n">
        <x:v>1</x:v>
      </x:c>
      <x:c r="N51" s="22" t="n">
        <x:v>1</x:v>
      </x:c>
      <x:c r="O51" s="19" t="n">
        <x:v>0</x:v>
      </x:c>
      <x:c r="P51" s="19" t="n">
        <x:v>0</x:v>
      </x:c>
      <x:c r="Q51" s="19" t="n">
        <x:v>0</x:v>
      </x:c>
    </x:row>
    <x:row r="52" ht="28" customHeight="1">
      <x:c r="A52" s="19" t="n">
        <x:v>16</x:v>
      </x:c>
      <x:c r="B52" s="19" t="str">
        <x:v>offpeak</x:v>
      </x:c>
      <x:c r="C52" s="19" t="n">
        <x:v>4664</x:v>
      </x:c>
      <x:c r="D52" s="19" t="n">
        <x:v>4664</x:v>
      </x:c>
      <x:c r="E52" s="22" t="n">
        <x:v>1</x:v>
      </x:c>
      <x:c r="F52" s="22" t="n">
        <x:v>1</x:v>
      </x:c>
      <x:c r="G52" s="22" t="n">
        <x:v>1</x:v>
      </x:c>
      <x:c r="H52" s="29" t="n">
        <x:v>0</x:v>
      </x:c>
      <x:c r="I52" s="19" t="n">
        <x:v>4664</x:v>
      </x:c>
      <x:c r="J52" s="19" t="n">
        <x:v>4528</x:v>
      </x:c>
      <x:c r="K52" s="19" t="n">
        <x:v>27</x:v>
      </x:c>
      <x:c r="L52" s="19" t="n">
        <x:v>109</x:v>
      </x:c>
      <x:c r="M52" s="22" t="n">
        <x:v>1</x:v>
      </x:c>
      <x:c r="N52" s="29" t="n">
        <x:v>0</x:v>
      </x:c>
      <x:c r="O52" s="19" t="n">
        <x:v>0</x:v>
      </x:c>
      <x:c r="P52" s="19" t="n">
        <x:v>0</x:v>
      </x:c>
      <x:c r="Q52" s="19" t="n">
        <x:v>0</x:v>
      </x:c>
    </x:row>
    <x:row r="53" ht="28" customHeight="1">
      <x:c r="A53" s="19" t="n">
        <x:v>16</x:v>
      </x:c>
      <x:c r="B53" s="19" t="str">
        <x:v>pm_peak</x:v>
      </x:c>
      <x:c r="C53" s="19" t="n">
        <x:v>4792</x:v>
      </x:c>
      <x:c r="D53" s="19" t="n">
        <x:v>4792</x:v>
      </x:c>
      <x:c r="E53" s="22" t="n">
        <x:v>1</x:v>
      </x:c>
      <x:c r="F53" s="22" t="n">
        <x:v>1</x:v>
      </x:c>
      <x:c r="G53" s="22" t="n">
        <x:v>1</x:v>
      </x:c>
      <x:c r="H53" s="29" t="n">
        <x:v>0</x:v>
      </x:c>
      <x:c r="I53" s="19" t="n">
        <x:v>4792</x:v>
      </x:c>
      <x:c r="J53" s="19" t="n">
        <x:v>4792</x:v>
      </x:c>
      <x:c r="K53" s="19" t="n">
        <x:v>0</x:v>
      </x:c>
      <x:c r="L53" s="19" t="n">
        <x:v>0</x:v>
      </x:c>
      <x:c r="M53" s="22" t="n">
        <x:v>1</x:v>
      </x:c>
      <x:c r="N53" s="22" t="n">
        <x:v>1</x:v>
      </x:c>
      <x:c r="O53" s="19" t="n">
        <x:v>0</x:v>
      </x:c>
      <x:c r="P53" s="19" t="n">
        <x:v>0</x:v>
      </x:c>
      <x:c r="Q53" s="19" t="n">
        <x:v>0</x:v>
      </x:c>
    </x:row>
    <x:row r="54" ht="28" customHeight="1">
      <x:c r="A54" s="19" t="n">
        <x:v>17</x:v>
      </x:c>
      <x:c r="B54" s="19" t="str">
        <x:v>am_peak</x:v>
      </x:c>
      <x:c r="C54" s="19" t="n">
        <x:v>2939</x:v>
      </x:c>
      <x:c r="D54" s="19" t="n">
        <x:v>2939</x:v>
      </x:c>
      <x:c r="E54" s="22" t="n">
        <x:v>1</x:v>
      </x:c>
      <x:c r="F54" s="22" t="n">
        <x:v>1</x:v>
      </x:c>
      <x:c r="G54" s="22" t="n">
        <x:v>1</x:v>
      </x:c>
      <x:c r="H54" s="22" t="n">
        <x:v>1</x:v>
      </x:c>
      <x:c r="I54" s="19" t="n">
        <x:v>2939</x:v>
      </x:c>
      <x:c r="J54" s="19" t="n">
        <x:v>2939</x:v>
      </x:c>
      <x:c r="K54" s="19" t="n">
        <x:v>0</x:v>
      </x:c>
      <x:c r="L54" s="19" t="n">
        <x:v>0</x:v>
      </x:c>
      <x:c r="M54" s="22" t="n">
        <x:v>1</x:v>
      </x:c>
      <x:c r="N54" s="22" t="n">
        <x:v>1</x:v>
      </x:c>
      <x:c r="O54" s="19" t="n">
        <x:v>0</x:v>
      </x:c>
      <x:c r="P54" s="19" t="n">
        <x:v>0</x:v>
      </x:c>
      <x:c r="Q54" s="19" t="n">
        <x:v>0</x:v>
      </x:c>
    </x:row>
    <x:row r="55" ht="28" customHeight="1">
      <x:c r="A55" s="19" t="n">
        <x:v>17</x:v>
      </x:c>
      <x:c r="B55" s="19" t="str">
        <x:v>offpeak</x:v>
      </x:c>
      <x:c r="C55" s="19" t="n">
        <x:v>2012</x:v>
      </x:c>
      <x:c r="D55" s="19" t="n">
        <x:v>2012</x:v>
      </x:c>
      <x:c r="E55" s="22" t="n">
        <x:v>1</x:v>
      </x:c>
      <x:c r="F55" s="22" t="n">
        <x:v>1</x:v>
      </x:c>
      <x:c r="G55" s="22" t="n">
        <x:v>1</x:v>
      </x:c>
      <x:c r="H55" s="29" t="n">
        <x:v>0</x:v>
      </x:c>
      <x:c r="I55" s="19" t="n">
        <x:v>2012</x:v>
      </x:c>
      <x:c r="J55" s="19" t="n">
        <x:v>2012</x:v>
      </x:c>
      <x:c r="K55" s="19" t="n">
        <x:v>0</x:v>
      </x:c>
      <x:c r="L55" s="19" t="n">
        <x:v>0</x:v>
      </x:c>
      <x:c r="M55" s="22" t="n">
        <x:v>1</x:v>
      </x:c>
      <x:c r="N55" s="22" t="n">
        <x:v>1</x:v>
      </x:c>
      <x:c r="O55" s="19" t="n">
        <x:v>0</x:v>
      </x:c>
      <x:c r="P55" s="19" t="n">
        <x:v>0</x:v>
      </x:c>
      <x:c r="Q55" s="19" t="n">
        <x:v>0</x:v>
      </x:c>
    </x:row>
    <x:row r="56" ht="28" customHeight="1">
      <x:c r="A56" s="19" t="n">
        <x:v>17</x:v>
      </x:c>
      <x:c r="B56" s="19" t="str">
        <x:v>pm_peak</x:v>
      </x:c>
      <x:c r="C56" s="19" t="n">
        <x:v>3912</x:v>
      </x:c>
      <x:c r="D56" s="19" t="n">
        <x:v>3912</x:v>
      </x:c>
      <x:c r="E56" s="22" t="n">
        <x:v>1</x:v>
      </x:c>
      <x:c r="F56" s="22" t="n">
        <x:v>1</x:v>
      </x:c>
      <x:c r="G56" s="22" t="n">
        <x:v>1</x:v>
      </x:c>
      <x:c r="H56" s="22" t="n">
        <x:v>1</x:v>
      </x:c>
      <x:c r="I56" s="19" t="n">
        <x:v>3912</x:v>
      </x:c>
      <x:c r="J56" s="19" t="n">
        <x:v>3654</x:v>
      </x:c>
      <x:c r="K56" s="19" t="n">
        <x:v>32</x:v>
      </x:c>
      <x:c r="L56" s="19" t="n">
        <x:v>226</x:v>
      </x:c>
      <x:c r="M56" s="22" t="n">
        <x:v>1</x:v>
      </x:c>
      <x:c r="N56" s="29" t="n">
        <x:v>0</x:v>
      </x:c>
      <x:c r="O56" s="19" t="n">
        <x:v>0</x:v>
      </x:c>
      <x:c r="P56" s="19" t="n">
        <x:v>0</x:v>
      </x:c>
      <x:c r="Q56" s="19" t="n">
        <x:v>0</x:v>
      </x:c>
    </x:row>
    <x:row r="57" ht="28" customHeight="1">
      <x:c r="A57" s="19" t="n">
        <x:v>18</x:v>
      </x:c>
      <x:c r="B57" s="19" t="str">
        <x:v>am_peak</x:v>
      </x:c>
      <x:c r="C57" s="19" t="n">
        <x:v>4953</x:v>
      </x:c>
      <x:c r="D57" s="19" t="n">
        <x:v>4953</x:v>
      </x:c>
      <x:c r="E57" s="22" t="n">
        <x:v>1</x:v>
      </x:c>
      <x:c r="F57" s="22" t="n">
        <x:v>1</x:v>
      </x:c>
      <x:c r="G57" s="22" t="n">
        <x:v>1</x:v>
      </x:c>
      <x:c r="H57" s="22" t="n">
        <x:v>1</x:v>
      </x:c>
      <x:c r="I57" s="19" t="n">
        <x:v>4953</x:v>
      </x:c>
      <x:c r="J57" s="19" t="n">
        <x:v>4953</x:v>
      </x:c>
      <x:c r="K57" s="19" t="n">
        <x:v>0</x:v>
      </x:c>
      <x:c r="L57" s="19" t="n">
        <x:v>0</x:v>
      </x:c>
      <x:c r="M57" s="22" t="n">
        <x:v>1</x:v>
      </x:c>
      <x:c r="N57" s="22" t="n">
        <x:v>1</x:v>
      </x:c>
      <x:c r="O57" s="19" t="n">
        <x:v>0</x:v>
      </x:c>
      <x:c r="P57" s="19" t="n">
        <x:v>0</x:v>
      </x:c>
      <x:c r="Q57" s="19" t="n">
        <x:v>0</x:v>
      </x:c>
    </x:row>
    <x:row r="58" ht="28" customHeight="1">
      <x:c r="A58" s="19" t="n">
        <x:v>18</x:v>
      </x:c>
      <x:c r="B58" s="19" t="str">
        <x:v>offpeak</x:v>
      </x:c>
      <x:c r="C58" s="19" t="n">
        <x:v>5474</x:v>
      </x:c>
      <x:c r="D58" s="19" t="n">
        <x:v>5474</x:v>
      </x:c>
      <x:c r="E58" s="22" t="n">
        <x:v>1</x:v>
      </x:c>
      <x:c r="F58" s="22" t="n">
        <x:v>1</x:v>
      </x:c>
      <x:c r="G58" s="22" t="n">
        <x:v>1</x:v>
      </x:c>
      <x:c r="H58" s="29" t="n">
        <x:v>0</x:v>
      </x:c>
      <x:c r="I58" s="19" t="n">
        <x:v>5474</x:v>
      </x:c>
      <x:c r="J58" s="19" t="n">
        <x:v>5354</x:v>
      </x:c>
      <x:c r="K58" s="19" t="n">
        <x:v>34</x:v>
      </x:c>
      <x:c r="L58" s="19" t="n">
        <x:v>86</x:v>
      </x:c>
      <x:c r="M58" s="22" t="n">
        <x:v>1</x:v>
      </x:c>
      <x:c r="N58" s="29" t="n">
        <x:v>0</x:v>
      </x:c>
      <x:c r="O58" s="19" t="n">
        <x:v>0</x:v>
      </x:c>
      <x:c r="P58" s="19" t="n">
        <x:v>0</x:v>
      </x:c>
      <x:c r="Q58" s="19" t="n">
        <x:v>0</x:v>
      </x:c>
    </x:row>
    <x:row r="59" ht="28" customHeight="1">
      <x:c r="A59" s="19" t="n">
        <x:v>18</x:v>
      </x:c>
      <x:c r="B59" s="19" t="str">
        <x:v>pm_peak</x:v>
      </x:c>
      <x:c r="C59" s="19" t="n">
        <x:v>6598</x:v>
      </x:c>
      <x:c r="D59" s="19" t="n">
        <x:v>6598</x:v>
      </x:c>
      <x:c r="E59" s="22" t="n">
        <x:v>1</x:v>
      </x:c>
      <x:c r="F59" s="22" t="n">
        <x:v>1</x:v>
      </x:c>
      <x:c r="G59" s="22" t="n">
        <x:v>1</x:v>
      </x:c>
      <x:c r="H59" s="29" t="n">
        <x:v>0</x:v>
      </x:c>
      <x:c r="I59" s="19" t="n">
        <x:v>6598</x:v>
      </x:c>
      <x:c r="J59" s="19" t="n">
        <x:v>6448</x:v>
      </x:c>
      <x:c r="K59" s="19" t="n">
        <x:v>51</x:v>
      </x:c>
      <x:c r="L59" s="19" t="n">
        <x:v>99</x:v>
      </x:c>
      <x:c r="M59" s="22" t="n">
        <x:v>1</x:v>
      </x:c>
      <x:c r="N59" s="29" t="n">
        <x:v>0</x:v>
      </x:c>
      <x:c r="O59" s="19" t="n">
        <x:v>0</x:v>
      </x:c>
      <x:c r="P59" s="19" t="n">
        <x:v>0</x:v>
      </x:c>
      <x:c r="Q59" s="19" t="n">
        <x:v>0</x:v>
      </x:c>
    </x:row>
    <x:row r="60" ht="28" customHeight="1">
      <x:c r="A60" s="19" t="n">
        <x:v>19</x:v>
      </x:c>
      <x:c r="B60" s="19" t="str">
        <x:v>am_peak</x:v>
      </x:c>
      <x:c r="C60" s="19" t="n">
        <x:v>3313</x:v>
      </x:c>
      <x:c r="D60" s="19" t="n">
        <x:v>3313</x:v>
      </x:c>
      <x:c r="E60" s="22" t="n">
        <x:v>1</x:v>
      </x:c>
      <x:c r="F60" s="22" t="n">
        <x:v>1</x:v>
      </x:c>
      <x:c r="G60" s="22" t="n">
        <x:v>1</x:v>
      </x:c>
      <x:c r="H60" s="22" t="n">
        <x:v>1</x:v>
      </x:c>
      <x:c r="I60" s="19" t="n">
        <x:v>3313</x:v>
      </x:c>
      <x:c r="J60" s="19" t="n">
        <x:v>3313</x:v>
      </x:c>
      <x:c r="K60" s="19" t="n">
        <x:v>0</x:v>
      </x:c>
      <x:c r="L60" s="19" t="n">
        <x:v>0</x:v>
      </x:c>
      <x:c r="M60" s="22" t="n">
        <x:v>1</x:v>
      </x:c>
      <x:c r="N60" s="22" t="n">
        <x:v>1</x:v>
      </x:c>
      <x:c r="O60" s="19" t="n">
        <x:v>0</x:v>
      </x:c>
      <x:c r="P60" s="19" t="n">
        <x:v>0</x:v>
      </x:c>
      <x:c r="Q60" s="19" t="n">
        <x:v>0</x:v>
      </x:c>
    </x:row>
    <x:row r="61" ht="28" customHeight="1">
      <x:c r="A61" s="19" t="n">
        <x:v>19</x:v>
      </x:c>
      <x:c r="B61" s="19" t="str">
        <x:v>offpeak</x:v>
      </x:c>
      <x:c r="C61" s="19" t="n">
        <x:v>2278</x:v>
      </x:c>
      <x:c r="D61" s="19" t="n">
        <x:v>2278</x:v>
      </x:c>
      <x:c r="E61" s="22" t="n">
        <x:v>1</x:v>
      </x:c>
      <x:c r="F61" s="22" t="n">
        <x:v>1</x:v>
      </x:c>
      <x:c r="G61" s="22" t="n">
        <x:v>1</x:v>
      </x:c>
      <x:c r="H61" s="29" t="n">
        <x:v>0</x:v>
      </x:c>
      <x:c r="I61" s="19" t="n">
        <x:v>2278</x:v>
      </x:c>
      <x:c r="J61" s="19" t="n">
        <x:v>2278</x:v>
      </x:c>
      <x:c r="K61" s="19" t="n">
        <x:v>0</x:v>
      </x:c>
      <x:c r="L61" s="19" t="n">
        <x:v>0</x:v>
      </x:c>
      <x:c r="M61" s="22" t="n">
        <x:v>1</x:v>
      </x:c>
      <x:c r="N61" s="22" t="n">
        <x:v>1</x:v>
      </x:c>
      <x:c r="O61" s="19" t="n">
        <x:v>0</x:v>
      </x:c>
      <x:c r="P61" s="19" t="n">
        <x:v>0</x:v>
      </x:c>
      <x:c r="Q61" s="19" t="n">
        <x:v>0</x:v>
      </x:c>
    </x:row>
    <x:row r="62" ht="28" customHeight="1">
      <x:c r="A62" s="19" t="n">
        <x:v>19</x:v>
      </x:c>
      <x:c r="B62" s="19" t="str">
        <x:v>pm_peak</x:v>
      </x:c>
      <x:c r="C62" s="19" t="n">
        <x:v>4873</x:v>
      </x:c>
      <x:c r="D62" s="19" t="n">
        <x:v>4873</x:v>
      </x:c>
      <x:c r="E62" s="22" t="n">
        <x:v>1</x:v>
      </x:c>
      <x:c r="F62" s="22" t="n">
        <x:v>1</x:v>
      </x:c>
      <x:c r="G62" s="22" t="n">
        <x:v>1</x:v>
      </x:c>
      <x:c r="H62" s="29" t="n">
        <x:v>0</x:v>
      </x:c>
      <x:c r="I62" s="19" t="n">
        <x:v>4873</x:v>
      </x:c>
      <x:c r="J62" s="19" t="n">
        <x:v>4712</x:v>
      </x:c>
      <x:c r="K62" s="19" t="n">
        <x:v>29</x:v>
      </x:c>
      <x:c r="L62" s="19" t="n">
        <x:v>132</x:v>
      </x:c>
      <x:c r="M62" s="22" t="n">
        <x:v>1</x:v>
      </x:c>
      <x:c r="N62" s="29" t="n">
        <x:v>0</x:v>
      </x:c>
      <x:c r="O62" s="19" t="n">
        <x:v>0</x:v>
      </x:c>
      <x:c r="P62" s="19" t="n">
        <x:v>0</x:v>
      </x:c>
      <x:c r="Q62" s="19" t="n">
        <x:v>0</x:v>
      </x:c>
    </x:row>
    <x:row r="63" ht="28" customHeight="1">
      <x:c r="A63" s="19" t="n">
        <x:v>20</x:v>
      </x:c>
      <x:c r="B63" s="19" t="str">
        <x:v>am_peak</x:v>
      </x:c>
      <x:c r="C63" s="19" t="n">
        <x:v>2633</x:v>
      </x:c>
      <x:c r="D63" s="19" t="n">
        <x:v>2633</x:v>
      </x:c>
      <x:c r="E63" s="22" t="n">
        <x:v>1</x:v>
      </x:c>
      <x:c r="F63" s="22" t="n">
        <x:v>1</x:v>
      </x:c>
      <x:c r="G63" s="22" t="n">
        <x:v>1</x:v>
      </x:c>
      <x:c r="H63" s="22" t="n">
        <x:v>1</x:v>
      </x:c>
      <x:c r="I63" s="19" t="n">
        <x:v>2633</x:v>
      </x:c>
      <x:c r="J63" s="19" t="n">
        <x:v>2626</x:v>
      </x:c>
      <x:c r="K63" s="19" t="n">
        <x:v>7</x:v>
      </x:c>
      <x:c r="L63" s="19" t="n">
        <x:v>0</x:v>
      </x:c>
      <x:c r="M63" s="22" t="n">
        <x:v>1</x:v>
      </x:c>
      <x:c r="N63" s="29" t="n">
        <x:v>0</x:v>
      </x:c>
      <x:c r="O63" s="19" t="n">
        <x:v>0</x:v>
      </x:c>
      <x:c r="P63" s="19" t="n">
        <x:v>0</x:v>
      </x:c>
      <x:c r="Q63" s="19" t="n">
        <x:v>0</x:v>
      </x:c>
    </x:row>
    <x:row r="64" ht="28" customHeight="1">
      <x:c r="A64" s="19" t="n">
        <x:v>20</x:v>
      </x:c>
      <x:c r="B64" s="19" t="str">
        <x:v>offpeak</x:v>
      </x:c>
      <x:c r="C64" s="19" t="n">
        <x:v>1041</x:v>
      </x:c>
      <x:c r="D64" s="19" t="n">
        <x:v>1041</x:v>
      </x:c>
      <x:c r="E64" s="22" t="n">
        <x:v>1</x:v>
      </x:c>
      <x:c r="F64" s="22" t="n">
        <x:v>1</x:v>
      </x:c>
      <x:c r="G64" s="22" t="n">
        <x:v>1</x:v>
      </x:c>
      <x:c r="H64" s="22" t="n">
        <x:v>1</x:v>
      </x:c>
      <x:c r="I64" s="19" t="n">
        <x:v>1041</x:v>
      </x:c>
      <x:c r="J64" s="19" t="n">
        <x:v>1041</x:v>
      </x:c>
      <x:c r="K64" s="19" t="n">
        <x:v>0</x:v>
      </x:c>
      <x:c r="L64" s="19" t="n">
        <x:v>0</x:v>
      </x:c>
      <x:c r="M64" s="22" t="n">
        <x:v>1</x:v>
      </x:c>
      <x:c r="N64" s="22" t="n">
        <x:v>1</x:v>
      </x:c>
      <x:c r="O64" s="19" t="n">
        <x:v>0</x:v>
      </x:c>
      <x:c r="P64" s="19" t="n">
        <x:v>0</x:v>
      </x:c>
      <x:c r="Q64" s="19" t="n">
        <x:v>0</x:v>
      </x:c>
    </x:row>
    <x:row r="65" ht="28" customHeight="1">
      <x:c r="A65" s="19" t="n">
        <x:v>20</x:v>
      </x:c>
      <x:c r="B65" s="19" t="str">
        <x:v>pm_peak</x:v>
      </x:c>
      <x:c r="C65" s="19" t="n">
        <x:v>2361</x:v>
      </x:c>
      <x:c r="D65" s="19" t="n">
        <x:v>2361</x:v>
      </x:c>
      <x:c r="E65" s="22" t="n">
        <x:v>1</x:v>
      </x:c>
      <x:c r="F65" s="22" t="n">
        <x:v>1</x:v>
      </x:c>
      <x:c r="G65" s="22" t="n">
        <x:v>1</x:v>
      </x:c>
      <x:c r="H65" s="22" t="n">
        <x:v>1</x:v>
      </x:c>
      <x:c r="I65" s="19" t="n">
        <x:v>2361</x:v>
      </x:c>
      <x:c r="J65" s="19" t="n">
        <x:v>2331</x:v>
      </x:c>
      <x:c r="K65" s="19" t="n">
        <x:v>30</x:v>
      </x:c>
      <x:c r="L65" s="19" t="n">
        <x:v>0</x:v>
      </x:c>
      <x:c r="M65" s="22" t="n">
        <x:v>1</x:v>
      </x:c>
      <x:c r="N65" s="29" t="n">
        <x:v>0</x:v>
      </x:c>
      <x:c r="O65" s="19" t="n">
        <x:v>0</x:v>
      </x:c>
      <x:c r="P65" s="19" t="n">
        <x:v>0</x:v>
      </x:c>
      <x:c r="Q65" s="19" t="n">
        <x:v>0</x:v>
      </x:c>
    </x:row>
  </x:sheetData>
  <x:mergeCells>
    <x:mergeCell ref="A1:Q2"/>
    <x:mergeCell ref="A3:Q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27" customHeight="1">
      <x:c r="A1" s="5" t="str">
        <x:v>道路长度与边界审计</x:v>
      </x:c>
      <x:c r="B1" s="5" t="str">
        <x:v>道路长度与边界审计</x:v>
      </x:c>
      <x:c r="C1" s="5" t="str">
        <x:v>道路长度与边界审计</x:v>
      </x:c>
      <x:c r="D1" s="5" t="str">
        <x:v>道路长度与边界审计</x:v>
      </x:c>
      <x:c r="E1" s="5" t="str">
        <x:v>道路长度与边界审计</x:v>
      </x:c>
      <x:c r="F1" s="5" t="str">
        <x:v>道路长度与边界审计</x:v>
      </x:c>
      <x:c r="G1" s="5" t="str">
        <x:v>道路长度与边界审计</x:v>
      </x:c>
      <x:c r="H1" s="5" t="str">
        <x:v>道路长度与边界审计</x:v>
      </x:c>
      <x:c r="I1" s="5" t="str">
        <x:v>道路长度与边界审计</x:v>
      </x:c>
      <x:c r="J1" s="5" t="str">
        <x:v>道路长度与边界审计</x:v>
      </x:c>
    </x:row>
    <x:row r="2" ht="27" customHeight="1">
      <x:c r="A2" s="5" t="str">
        <x:v>道路长度与边界审计</x:v>
      </x:c>
      <x:c r="B2" s="5" t="str">
        <x:v>道路长度与边界审计</x:v>
      </x:c>
      <x:c r="C2" s="5" t="str">
        <x:v>道路长度与边界审计</x:v>
      </x:c>
      <x:c r="D2" s="5" t="str">
        <x:v>道路长度与边界审计</x:v>
      </x:c>
      <x:c r="E2" s="5" t="str">
        <x:v>道路长度与边界审计</x:v>
      </x:c>
      <x:c r="F2" s="5" t="str">
        <x:v>道路长度与边界审计</x:v>
      </x:c>
      <x:c r="G2" s="5" t="str">
        <x:v>道路长度与边界审计</x:v>
      </x:c>
      <x:c r="H2" s="5" t="str">
        <x:v>道路长度与边界审计</x:v>
      </x:c>
      <x:c r="I2" s="5" t="str">
        <x:v>道路长度与边界审计</x:v>
      </x:c>
      <x:c r="J2" s="5" t="str">
        <x:v>道路长度与边界审计</x:v>
      </x:c>
    </x:row>
    <x:row r="3" ht="27" customHeight="1">
      <x:c r="A3" s="9" t="str">
        <x:v>证据长度不覆盖；1—4号保留主办方SUMO长度，5—20号统一采用250m独立路口边界，并保留OSM原始测距与调整类型。</x:v>
      </x:c>
      <x:c r="B3" s="9" t="str">
        <x:v>证据长度不覆盖；1—4号保留主办方SUMO长度，5—20号统一采用250m独立路口边界，并保留OSM原始测距与调整类型。</x:v>
      </x:c>
      <x:c r="C3" s="9" t="str">
        <x:v>证据长度不覆盖；1—4号保留主办方SUMO长度，5—20号统一采用250m独立路口边界，并保留OSM原始测距与调整类型。</x:v>
      </x:c>
      <x:c r="D3" s="9" t="str">
        <x:v>证据长度不覆盖；1—4号保留主办方SUMO长度，5—20号统一采用250m独立路口边界，并保留OSM原始测距与调整类型。</x:v>
      </x:c>
      <x:c r="E3" s="9" t="str">
        <x:v>证据长度不覆盖；1—4号保留主办方SUMO长度，5—20号统一采用250m独立路口边界，并保留OSM原始测距与调整类型。</x:v>
      </x:c>
      <x:c r="F3" s="9" t="str">
        <x:v>证据长度不覆盖；1—4号保留主办方SUMO长度，5—20号统一采用250m独立路口边界，并保留OSM原始测距与调整类型。</x:v>
      </x:c>
      <x:c r="G3" s="9" t="str">
        <x:v>证据长度不覆盖；1—4号保留主办方SUMO长度，5—20号统一采用250m独立路口边界，并保留OSM原始测距与调整类型。</x:v>
      </x:c>
      <x:c r="H3" s="9" t="str">
        <x:v>证据长度不覆盖；1—4号保留主办方SUMO长度，5—20号统一采用250m独立路口边界，并保留OSM原始测距与调整类型。</x:v>
      </x:c>
      <x:c r="I3" s="9" t="str">
        <x:v>证据长度不覆盖；1—4号保留主办方SUMO长度，5—20号统一采用250m独立路口边界，并保留OSM原始测距与调整类型。</x:v>
      </x:c>
      <x:c r="J3" s="9" t="str">
        <x:v>证据长度不覆盖；1—4号保留主办方SUMO长度，5—20号统一采用250m独立路口边界，并保留OSM原始测距与调整类型。</x:v>
      </x:c>
    </x:row>
    <x:row r="5" ht="34" customHeight="1">
      <x:c r="A5" s="15" t="str">
        <x:v>路口</x:v>
      </x:c>
      <x:c r="B5" s="15" t="str">
        <x:v>道路臂</x:v>
      </x:c>
      <x:c r="C5" s="15" t="str">
        <x:v>几何来源</x:v>
      </x:c>
      <x:c r="D5" s="15" t="str">
        <x:v>证据长度(m)</x:v>
      </x:c>
      <x:c r="E5" s="15" t="str">
        <x:v>模型长度(m)</x:v>
      </x:c>
      <x:c r="F5" s="15" t="str">
        <x:v>SUMO进口有效(m)</x:v>
      </x:c>
      <x:c r="G5" s="15" t="str">
        <x:v>SUMO出口有效(m)</x:v>
      </x:c>
      <x:c r="H5" s="15" t="str">
        <x:v>调整类型</x:v>
      </x:c>
      <x:c r="I5" s="15" t="str">
        <x:v>长度置信度</x:v>
      </x:c>
      <x:c r="J5" s="15" t="str">
        <x:v>截止依据</x:v>
      </x:c>
    </x:row>
    <x:row r="6" ht="28" customHeight="1">
      <x:c r="A6" s="19" t="n">
        <x:v>1</x:v>
      </x:c>
      <x:c r="B6" s="19" t="str">
        <x:v>N</x:v>
      </x:c>
      <x:c r="C6" s="19" t="str">
        <x:v>organizer_official_sumo_reference</x:v>
      </x:c>
      <x:c r="D6" s="30" t="n">
        <x:v>101.28</x:v>
      </x:c>
      <x:c r="E6" s="30" t="n">
        <x:v>101.28</x:v>
      </x:c>
      <x:c r="F6" s="30" t="n">
        <x:v>90.17</x:v>
      </x:c>
      <x:c r="G6" s="30" t="n">
        <x:v>90.17</x:v>
      </x:c>
      <x:c r="H6" s="19" t="str">
        <x:v>none</x:v>
      </x:c>
      <x:c r="I6" s="19" t="str">
        <x:v>high</x:v>
      </x:c>
      <x:c r="J6" s="19" t="str">
        <x:v>organizer_official_sumo_boundary</x:v>
      </x:c>
    </x:row>
    <x:row r="7" ht="28" customHeight="1">
      <x:c r="A7" s="19" t="n">
        <x:v>1</x:v>
      </x:c>
      <x:c r="B7" s="19" t="str">
        <x:v>E</x:v>
      </x:c>
      <x:c r="C7" s="19" t="str">
        <x:v>organizer_official_sumo_reference</x:v>
      </x:c>
      <x:c r="D7" s="30" t="n">
        <x:v>76.92</x:v>
      </x:c>
      <x:c r="E7" s="30" t="n">
        <x:v>76.92</x:v>
      </x:c>
      <x:c r="F7" s="30" t="n">
        <x:v>62.83</x:v>
      </x:c>
      <x:c r="G7" s="30" t="n">
        <x:v>62.83</x:v>
      </x:c>
      <x:c r="H7" s="19" t="str">
        <x:v>none</x:v>
      </x:c>
      <x:c r="I7" s="19" t="str">
        <x:v>high</x:v>
      </x:c>
      <x:c r="J7" s="19" t="str">
        <x:v>organizer_official_sumo_boundary</x:v>
      </x:c>
    </x:row>
    <x:row r="8" ht="28" customHeight="1">
      <x:c r="A8" s="19" t="n">
        <x:v>1</x:v>
      </x:c>
      <x:c r="B8" s="19" t="str">
        <x:v>S</x:v>
      </x:c>
      <x:c r="C8" s="19" t="str">
        <x:v>organizer_official_sumo_reference</x:v>
      </x:c>
      <x:c r="D8" s="30" t="n">
        <x:v>80.71</x:v>
      </x:c>
      <x:c r="E8" s="30" t="n">
        <x:v>80.71</x:v>
      </x:c>
      <x:c r="F8" s="30" t="n">
        <x:v>69.53</x:v>
      </x:c>
      <x:c r="G8" s="30" t="n">
        <x:v>69.53</x:v>
      </x:c>
      <x:c r="H8" s="19" t="str">
        <x:v>none</x:v>
      </x:c>
      <x:c r="I8" s="19" t="str">
        <x:v>high</x:v>
      </x:c>
      <x:c r="J8" s="19" t="str">
        <x:v>organizer_official_sumo_boundary</x:v>
      </x:c>
    </x:row>
    <x:row r="9" ht="28" customHeight="1">
      <x:c r="A9" s="19" t="n">
        <x:v>1</x:v>
      </x:c>
      <x:c r="B9" s="19" t="str">
        <x:v>W</x:v>
      </x:c>
      <x:c r="C9" s="19" t="str">
        <x:v>organizer_official_sumo_reference</x:v>
      </x:c>
      <x:c r="D9" s="30" t="n">
        <x:v>74.17</x:v>
      </x:c>
      <x:c r="E9" s="30" t="n">
        <x:v>74.17</x:v>
      </x:c>
      <x:c r="F9" s="30" t="n">
        <x:v>60.02</x:v>
      </x:c>
      <x:c r="G9" s="30" t="n">
        <x:v>60.02</x:v>
      </x:c>
      <x:c r="H9" s="19" t="str">
        <x:v>none</x:v>
      </x:c>
      <x:c r="I9" s="19" t="str">
        <x:v>high</x:v>
      </x:c>
      <x:c r="J9" s="19" t="str">
        <x:v>organizer_official_sumo_boundary</x:v>
      </x:c>
    </x:row>
    <x:row r="10" ht="28" customHeight="1">
      <x:c r="A10" s="19" t="n">
        <x:v>2</x:v>
      </x:c>
      <x:c r="B10" s="19" t="str">
        <x:v>N</x:v>
      </x:c>
      <x:c r="C10" s="19" t="str">
        <x:v>organizer_official_sumo_reference</x:v>
      </x:c>
      <x:c r="D10" s="30" t="n">
        <x:v>66.96</x:v>
      </x:c>
      <x:c r="E10" s="30" t="n">
        <x:v>66.96</x:v>
      </x:c>
      <x:c r="F10" s="30" t="n">
        <x:v>56.8</x:v>
      </x:c>
      <x:c r="G10" s="30" t="n">
        <x:v>56.8</x:v>
      </x:c>
      <x:c r="H10" s="19" t="str">
        <x:v>none</x:v>
      </x:c>
      <x:c r="I10" s="19" t="str">
        <x:v>high</x:v>
      </x:c>
      <x:c r="J10" s="19" t="str">
        <x:v>organizer_official_sumo_boundary</x:v>
      </x:c>
    </x:row>
    <x:row r="11" ht="28" customHeight="1">
      <x:c r="A11" s="19" t="n">
        <x:v>2</x:v>
      </x:c>
      <x:c r="B11" s="19" t="str">
        <x:v>S</x:v>
      </x:c>
      <x:c r="C11" s="19" t="str">
        <x:v>organizer_official_sumo_reference</x:v>
      </x:c>
      <x:c r="D11" s="30" t="n">
        <x:v>71.59</x:v>
      </x:c>
      <x:c r="E11" s="30" t="n">
        <x:v>71.59</x:v>
      </x:c>
      <x:c r="F11" s="30" t="n">
        <x:v>60.34</x:v>
      </x:c>
      <x:c r="G11" s="30" t="n">
        <x:v>60.34</x:v>
      </x:c>
      <x:c r="H11" s="19" t="str">
        <x:v>none</x:v>
      </x:c>
      <x:c r="I11" s="19" t="str">
        <x:v>high</x:v>
      </x:c>
      <x:c r="J11" s="19" t="str">
        <x:v>organizer_official_sumo_boundary</x:v>
      </x:c>
    </x:row>
    <x:row r="12" ht="28" customHeight="1">
      <x:c r="A12" s="19" t="n">
        <x:v>2</x:v>
      </x:c>
      <x:c r="B12" s="19" t="str">
        <x:v>W</x:v>
      </x:c>
      <x:c r="C12" s="19" t="str">
        <x:v>organizer_official_sumo_reference</x:v>
      </x:c>
      <x:c r="D12" s="30" t="n">
        <x:v>76.89</x:v>
      </x:c>
      <x:c r="E12" s="30" t="n">
        <x:v>76.89</x:v>
      </x:c>
      <x:c r="F12" s="30" t="n">
        <x:v>68.21</x:v>
      </x:c>
      <x:c r="G12" s="30" t="n">
        <x:v>68.21</x:v>
      </x:c>
      <x:c r="H12" s="19" t="str">
        <x:v>none</x:v>
      </x:c>
      <x:c r="I12" s="19" t="str">
        <x:v>high</x:v>
      </x:c>
      <x:c r="J12" s="19" t="str">
        <x:v>organizer_official_sumo_boundary</x:v>
      </x:c>
    </x:row>
    <x:row r="13" ht="28" customHeight="1">
      <x:c r="A13" s="19" t="n">
        <x:v>3</x:v>
      </x:c>
      <x:c r="B13" s="19" t="str">
        <x:v>N</x:v>
      </x:c>
      <x:c r="C13" s="19" t="str">
        <x:v>organizer_official_sumo_reference</x:v>
      </x:c>
      <x:c r="D13" s="30" t="n">
        <x:v>66.04</x:v>
      </x:c>
      <x:c r="E13" s="30" t="n">
        <x:v>66.04</x:v>
      </x:c>
      <x:c r="F13" s="30" t="n">
        <x:v>53.68</x:v>
      </x:c>
      <x:c r="G13" s="30" t="n">
        <x:v>53.68</x:v>
      </x:c>
      <x:c r="H13" s="19" t="str">
        <x:v>none</x:v>
      </x:c>
      <x:c r="I13" s="19" t="str">
        <x:v>high</x:v>
      </x:c>
      <x:c r="J13" s="19" t="str">
        <x:v>organizer_official_sumo_boundary</x:v>
      </x:c>
    </x:row>
    <x:row r="14" ht="28" customHeight="1">
      <x:c r="A14" s="19" t="n">
        <x:v>3</x:v>
      </x:c>
      <x:c r="B14" s="19" t="str">
        <x:v>E</x:v>
      </x:c>
      <x:c r="C14" s="19" t="str">
        <x:v>organizer_official_sumo_reference</x:v>
      </x:c>
      <x:c r="D14" s="30" t="n">
        <x:v>64.36</x:v>
      </x:c>
      <x:c r="E14" s="30" t="n">
        <x:v>64.36</x:v>
      </x:c>
      <x:c r="F14" s="30" t="n">
        <x:v>54.12</x:v>
      </x:c>
      <x:c r="G14" s="30" t="n">
        <x:v>54.12</x:v>
      </x:c>
      <x:c r="H14" s="19" t="str">
        <x:v>none</x:v>
      </x:c>
      <x:c r="I14" s="19" t="str">
        <x:v>high</x:v>
      </x:c>
      <x:c r="J14" s="19" t="str">
        <x:v>organizer_official_sumo_boundary</x:v>
      </x:c>
    </x:row>
    <x:row r="15" ht="28" customHeight="1">
      <x:c r="A15" s="19" t="n">
        <x:v>3</x:v>
      </x:c>
      <x:c r="B15" s="19" t="str">
        <x:v>S</x:v>
      </x:c>
      <x:c r="C15" s="19" t="str">
        <x:v>organizer_official_sumo_reference</x:v>
      </x:c>
      <x:c r="D15" s="30" t="n">
        <x:v>74.98</x:v>
      </x:c>
      <x:c r="E15" s="30" t="n">
        <x:v>74.98</x:v>
      </x:c>
      <x:c r="F15" s="30" t="n">
        <x:v>62.94</x:v>
      </x:c>
      <x:c r="G15" s="30" t="n">
        <x:v>62.94</x:v>
      </x:c>
      <x:c r="H15" s="19" t="str">
        <x:v>none</x:v>
      </x:c>
      <x:c r="I15" s="19" t="str">
        <x:v>high</x:v>
      </x:c>
      <x:c r="J15" s="19" t="str">
        <x:v>organizer_official_sumo_boundary</x:v>
      </x:c>
    </x:row>
    <x:row r="16" ht="28" customHeight="1">
      <x:c r="A16" s="19" t="n">
        <x:v>3</x:v>
      </x:c>
      <x:c r="B16" s="19" t="str">
        <x:v>W</x:v>
      </x:c>
      <x:c r="C16" s="19" t="str">
        <x:v>organizer_official_sumo_reference</x:v>
      </x:c>
      <x:c r="D16" s="30" t="n">
        <x:v>70.86</x:v>
      </x:c>
      <x:c r="E16" s="30" t="n">
        <x:v>70.86</x:v>
      </x:c>
      <x:c r="F16" s="30" t="n">
        <x:v>61.04</x:v>
      </x:c>
      <x:c r="G16" s="30" t="n">
        <x:v>61.04</x:v>
      </x:c>
      <x:c r="H16" s="19" t="str">
        <x:v>none</x:v>
      </x:c>
      <x:c r="I16" s="19" t="str">
        <x:v>high</x:v>
      </x:c>
      <x:c r="J16" s="19" t="str">
        <x:v>organizer_official_sumo_boundary</x:v>
      </x:c>
    </x:row>
    <x:row r="17" ht="28" customHeight="1">
      <x:c r="A17" s="19" t="n">
        <x:v>4</x:v>
      </x:c>
      <x:c r="B17" s="19" t="str">
        <x:v>N</x:v>
      </x:c>
      <x:c r="C17" s="19" t="str">
        <x:v>organizer_official_sumo_reference</x:v>
      </x:c>
      <x:c r="D17" s="30" t="n">
        <x:v>61.92</x:v>
      </x:c>
      <x:c r="E17" s="30" t="n">
        <x:v>61.92</x:v>
      </x:c>
      <x:c r="F17" s="30" t="n">
        <x:v>50.99</x:v>
      </x:c>
      <x:c r="G17" s="30" t="n">
        <x:v>50.99</x:v>
      </x:c>
      <x:c r="H17" s="19" t="str">
        <x:v>none</x:v>
      </x:c>
      <x:c r="I17" s="19" t="str">
        <x:v>high</x:v>
      </x:c>
      <x:c r="J17" s="19" t="str">
        <x:v>organizer_official_sumo_boundary</x:v>
      </x:c>
    </x:row>
    <x:row r="18" ht="28" customHeight="1">
      <x:c r="A18" s="19" t="n">
        <x:v>4</x:v>
      </x:c>
      <x:c r="B18" s="19" t="str">
        <x:v>E</x:v>
      </x:c>
      <x:c r="C18" s="19" t="str">
        <x:v>organizer_official_sumo_reference</x:v>
      </x:c>
      <x:c r="D18" s="30" t="n">
        <x:v>81.1</x:v>
      </x:c>
      <x:c r="E18" s="30" t="n">
        <x:v>81.1</x:v>
      </x:c>
      <x:c r="F18" s="30" t="n">
        <x:v>70.17</x:v>
      </x:c>
      <x:c r="G18" s="30" t="n">
        <x:v>70.17</x:v>
      </x:c>
      <x:c r="H18" s="19" t="str">
        <x:v>none</x:v>
      </x:c>
      <x:c r="I18" s="19" t="str">
        <x:v>high</x:v>
      </x:c>
      <x:c r="J18" s="19" t="str">
        <x:v>organizer_official_sumo_boundary</x:v>
      </x:c>
    </x:row>
    <x:row r="19" ht="28" customHeight="1">
      <x:c r="A19" s="19" t="n">
        <x:v>4</x:v>
      </x:c>
      <x:c r="B19" s="19" t="str">
        <x:v>S</x:v>
      </x:c>
      <x:c r="C19" s="19" t="str">
        <x:v>organizer_official_sumo_reference</x:v>
      </x:c>
      <x:c r="D19" s="30" t="n">
        <x:v>71.45</x:v>
      </x:c>
      <x:c r="E19" s="30" t="n">
        <x:v>71.45</x:v>
      </x:c>
      <x:c r="F19" s="30" t="n">
        <x:v>60.78</x:v>
      </x:c>
      <x:c r="G19" s="30" t="n">
        <x:v>60.78</x:v>
      </x:c>
      <x:c r="H19" s="19" t="str">
        <x:v>none</x:v>
      </x:c>
      <x:c r="I19" s="19" t="str">
        <x:v>high</x:v>
      </x:c>
      <x:c r="J19" s="19" t="str">
        <x:v>organizer_official_sumo_boundary</x:v>
      </x:c>
    </x:row>
    <x:row r="20" ht="28" customHeight="1">
      <x:c r="A20" s="19" t="n">
        <x:v>4</x:v>
      </x:c>
      <x:c r="B20" s="19" t="str">
        <x:v>W</x:v>
      </x:c>
      <x:c r="C20" s="19" t="str">
        <x:v>organizer_official_sumo_reference</x:v>
      </x:c>
      <x:c r="D20" s="30" t="n">
        <x:v>49.92</x:v>
      </x:c>
      <x:c r="E20" s="30" t="n">
        <x:v>49.92</x:v>
      </x:c>
      <x:c r="F20" s="30" t="n">
        <x:v>39.25</x:v>
      </x:c>
      <x:c r="G20" s="30" t="n">
        <x:v>39.25</x:v>
      </x:c>
      <x:c r="H20" s="19" t="str">
        <x:v>none</x:v>
      </x:c>
      <x:c r="I20" s="19" t="str">
        <x:v>high</x:v>
      </x:c>
      <x:c r="J20" s="19" t="str">
        <x:v>organizer_official_sumo_boundary</x:v>
      </x:c>
    </x:row>
    <x:row r="21" ht="28" customHeight="1">
      <x:c r="A21" s="19" t="n">
        <x:v>5</x:v>
      </x:c>
      <x:c r="B21" s="19" t="str">
        <x:v>E</x:v>
      </x:c>
      <x:c r="C21" s="19" t="str">
        <x:v>checked_in_osm_extract</x:v>
      </x:c>
      <x:c r="D21" s="30" t="n">
        <x:v>79.17</x:v>
      </x:c>
      <x:c r="E21" s="30" t="n">
        <x:v>250</x:v>
      </x:c>
      <x:c r="F21" s="30" t="n">
        <x:v>239.12</x:v>
      </x:c>
      <x:c r="G21" s="30" t="n">
        <x:v>239.12</x:v>
      </x:c>
      <x:c r="H21" s="24" t="str">
        <x:v>standardized_isolated_intersection_boundary</x:v>
      </x:c>
      <x:c r="I21" s="19" t="str">
        <x:v>high</x:v>
      </x:c>
      <x:c r="J21" s="19" t="str">
        <x:v>next_osm_topological_junction</x:v>
      </x:c>
    </x:row>
    <x:row r="22" ht="28" customHeight="1">
      <x:c r="A22" s="19" t="n">
        <x:v>5</x:v>
      </x:c>
      <x:c r="B22" s="19" t="str">
        <x:v>S</x:v>
      </x:c>
      <x:c r="C22" s="19" t="str">
        <x:v>checked_in_osm_extract</x:v>
      </x:c>
      <x:c r="D22" s="30" t="n">
        <x:v>275.21</x:v>
      </x:c>
      <x:c r="E22" s="30" t="n">
        <x:v>250</x:v>
      </x:c>
      <x:c r="F22" s="30" t="n">
        <x:v>239.11</x:v>
      </x:c>
      <x:c r="G22" s="30" t="n">
        <x:v>239.11</x:v>
      </x:c>
      <x:c r="H22" s="24" t="str">
        <x:v>standardized_isolated_intersection_boundary</x:v>
      </x:c>
      <x:c r="I22" s="19" t="str">
        <x:v>high</x:v>
      </x:c>
      <x:c r="J22" s="19" t="str">
        <x:v>next_osm_topological_junction</x:v>
      </x:c>
    </x:row>
    <x:row r="23" ht="28" customHeight="1">
      <x:c r="A23" s="19" t="n">
        <x:v>5</x:v>
      </x:c>
      <x:c r="B23" s="19" t="str">
        <x:v>W</x:v>
      </x:c>
      <x:c r="C23" s="19" t="str">
        <x:v>checked_in_osm_extract</x:v>
      </x:c>
      <x:c r="D23" s="30" t="n">
        <x:v>64.58</x:v>
      </x:c>
      <x:c r="E23" s="30" t="n">
        <x:v>250</x:v>
      </x:c>
      <x:c r="F23" s="30" t="n">
        <x:v>240.12</x:v>
      </x:c>
      <x:c r="G23" s="30" t="n">
        <x:v>240.12</x:v>
      </x:c>
      <x:c r="H23" s="24" t="str">
        <x:v>standardized_isolated_intersection_boundary</x:v>
      </x:c>
      <x:c r="I23" s="19" t="str">
        <x:v>high</x:v>
      </x:c>
      <x:c r="J23" s="19" t="str">
        <x:v>next_osm_topological_junction</x:v>
      </x:c>
    </x:row>
    <x:row r="24" ht="28" customHeight="1">
      <x:c r="A24" s="19" t="n">
        <x:v>6</x:v>
      </x:c>
      <x:c r="B24" s="19" t="str">
        <x:v>N</x:v>
      </x:c>
      <x:c r="C24" s="19" t="str">
        <x:v>checked_in_osm_extract</x:v>
      </x:c>
      <x:c r="D24" s="30" t="n">
        <x:v>962.63</x:v>
      </x:c>
      <x:c r="E24" s="30" t="n">
        <x:v>250</x:v>
      </x:c>
      <x:c r="F24" s="30" t="n">
        <x:v>238.81</x:v>
      </x:c>
      <x:c r="G24" s="30" t="n">
        <x:v>238.81</x:v>
      </x:c>
      <x:c r="H24" s="24" t="str">
        <x:v>standardized_isolated_intersection_boundary</x:v>
      </x:c>
      <x:c r="I24" s="19" t="str">
        <x:v>high</x:v>
      </x:c>
      <x:c r="J24" s="19" t="str">
        <x:v>next_osm_topological_junction</x:v>
      </x:c>
    </x:row>
    <x:row r="25" ht="28" customHeight="1">
      <x:c r="A25" s="19" t="n">
        <x:v>6</x:v>
      </x:c>
      <x:c r="B25" s="19" t="str">
        <x:v>E</x:v>
      </x:c>
      <x:c r="C25" s="19" t="str">
        <x:v>checked_in_osm_extract</x:v>
      </x:c>
      <x:c r="D25" s="30" t="n">
        <x:v>285.42</x:v>
      </x:c>
      <x:c r="E25" s="30" t="n">
        <x:v>250</x:v>
      </x:c>
      <x:c r="F25" s="30" t="n">
        <x:v>238.98</x:v>
      </x:c>
      <x:c r="G25" s="30" t="n">
        <x:v>238.63</x:v>
      </x:c>
      <x:c r="H25" s="24" t="str">
        <x:v>standardized_isolated_intersection_boundary</x:v>
      </x:c>
      <x:c r="I25" s="19" t="str">
        <x:v>high</x:v>
      </x:c>
      <x:c r="J25" s="19" t="str">
        <x:v>next_osm_topological_junction</x:v>
      </x:c>
    </x:row>
    <x:row r="26" ht="28" customHeight="1">
      <x:c r="A26" s="19" t="n">
        <x:v>6</x:v>
      </x:c>
      <x:c r="B26" s="19" t="str">
        <x:v>S</x:v>
      </x:c>
      <x:c r="C26" s="19" t="str">
        <x:v>checked_in_osm_extract</x:v>
      </x:c>
      <x:c r="D26" s="30" t="n">
        <x:v>305.82</x:v>
      </x:c>
      <x:c r="E26" s="30" t="n">
        <x:v>250</x:v>
      </x:c>
      <x:c r="F26" s="30" t="n">
        <x:v>239.23</x:v>
      </x:c>
      <x:c r="G26" s="30" t="n">
        <x:v>239.23</x:v>
      </x:c>
      <x:c r="H26" s="24" t="str">
        <x:v>standardized_isolated_intersection_boundary</x:v>
      </x:c>
      <x:c r="I26" s="19" t="str">
        <x:v>high</x:v>
      </x:c>
      <x:c r="J26" s="19" t="str">
        <x:v>next_osm_topological_junction</x:v>
      </x:c>
    </x:row>
    <x:row r="27" ht="28" customHeight="1">
      <x:c r="A27" s="19" t="n">
        <x:v>6</x:v>
      </x:c>
      <x:c r="B27" s="19" t="str">
        <x:v>W</x:v>
      </x:c>
      <x:c r="C27" s="19" t="str">
        <x:v>checked_in_osm_extract</x:v>
      </x:c>
      <x:c r="D27" s="30" t="n">
        <x:v>164.65</x:v>
      </x:c>
      <x:c r="E27" s="30" t="n">
        <x:v>250</x:v>
      </x:c>
      <x:c r="F27" s="30" t="n">
        <x:v>239.66</x:v>
      </x:c>
      <x:c r="G27" s="30" t="n">
        <x:v>239.73</x:v>
      </x:c>
      <x:c r="H27" s="24" t="str">
        <x:v>standardized_isolated_intersection_boundary</x:v>
      </x:c>
      <x:c r="I27" s="19" t="str">
        <x:v>high</x:v>
      </x:c>
      <x:c r="J27" s="19" t="str">
        <x:v>next_osm_topological_junction</x:v>
      </x:c>
    </x:row>
    <x:row r="28" ht="28" customHeight="1">
      <x:c r="A28" s="19" t="n">
        <x:v>7</x:v>
      </x:c>
      <x:c r="B28" s="19" t="str">
        <x:v>N</x:v>
      </x:c>
      <x:c r="C28" s="19" t="str">
        <x:v>checked_in_osm_extract</x:v>
      </x:c>
      <x:c r="D28" s="30" t="n">
        <x:v>75.11</x:v>
      </x:c>
      <x:c r="E28" s="30" t="n">
        <x:v>250</x:v>
      </x:c>
      <x:c r="F28" s="30" t="n">
        <x:v>242.13</x:v>
      </x:c>
      <x:c r="G28" s="30" t="n">
        <x:v>242.9</x:v>
      </x:c>
      <x:c r="H28" s="24" t="str">
        <x:v>standardized_isolated_intersection_boundary</x:v>
      </x:c>
      <x:c r="I28" s="19" t="str">
        <x:v>high</x:v>
      </x:c>
      <x:c r="J28" s="19" t="str">
        <x:v>next_osm_topological_junction</x:v>
      </x:c>
    </x:row>
    <x:row r="29" ht="28" customHeight="1">
      <x:c r="A29" s="19" t="n">
        <x:v>7</x:v>
      </x:c>
      <x:c r="B29" s="19" t="str">
        <x:v>E</x:v>
      </x:c>
      <x:c r="C29" s="19" t="str">
        <x:v>checked_in_osm_extract</x:v>
      </x:c>
      <x:c r="D29" s="30" t="n">
        <x:v>10275.8</x:v>
      </x:c>
      <x:c r="E29" s="30" t="n">
        <x:v>250</x:v>
      </x:c>
      <x:c r="F29" s="30" t="n">
        <x:v>242.52</x:v>
      </x:c>
      <x:c r="G29" s="30" t="n">
        <x:v>242.52</x:v>
      </x:c>
      <x:c r="H29" s="24" t="str">
        <x:v>standardized_isolated_intersection_boundary</x:v>
      </x:c>
      <x:c r="I29" s="19" t="str">
        <x:v>high</x:v>
      </x:c>
      <x:c r="J29" s="19" t="str">
        <x:v>next_osm_topological_junction</x:v>
      </x:c>
    </x:row>
    <x:row r="30" ht="28" customHeight="1">
      <x:c r="A30" s="19" t="n">
        <x:v>7</x:v>
      </x:c>
      <x:c r="B30" s="19" t="str">
        <x:v>S</x:v>
      </x:c>
      <x:c r="C30" s="19" t="str">
        <x:v>checked_in_osm_extract</x:v>
      </x:c>
      <x:c r="D30" s="30" t="n">
        <x:v>144.86</x:v>
      </x:c>
      <x:c r="E30" s="30" t="n">
        <x:v>250</x:v>
      </x:c>
      <x:c r="F30" s="30" t="n">
        <x:v>242.52</x:v>
      </x:c>
      <x:c r="G30" s="30" t="n">
        <x:v>242.52</x:v>
      </x:c>
      <x:c r="H30" s="24" t="str">
        <x:v>standardized_isolated_intersection_boundary</x:v>
      </x:c>
      <x:c r="I30" s="19" t="str">
        <x:v>high</x:v>
      </x:c>
      <x:c r="J30" s="19" t="str">
        <x:v>next_osm_topological_junction</x:v>
      </x:c>
    </x:row>
    <x:row r="31" ht="28" customHeight="1">
      <x:c r="A31" s="19" t="n">
        <x:v>7</x:v>
      </x:c>
      <x:c r="B31" s="19" t="str">
        <x:v>W</x:v>
      </x:c>
      <x:c r="C31" s="19" t="str">
        <x:v>checked_in_osm_extract</x:v>
      </x:c>
      <x:c r="D31" s="30" t="n">
        <x:v>1947.22</x:v>
      </x:c>
      <x:c r="E31" s="30" t="n">
        <x:v>250</x:v>
      </x:c>
      <x:c r="F31" s="30" t="n">
        <x:v>242.5</x:v>
      </x:c>
      <x:c r="G31" s="30" t="n">
        <x:v>242.55</x:v>
      </x:c>
      <x:c r="H31" s="24" t="str">
        <x:v>standardized_isolated_intersection_boundary</x:v>
      </x:c>
      <x:c r="I31" s="19" t="str">
        <x:v>high</x:v>
      </x:c>
      <x:c r="J31" s="19" t="str">
        <x:v>next_osm_topological_junction</x:v>
      </x:c>
    </x:row>
    <x:row r="32" ht="28" customHeight="1">
      <x:c r="A32" s="19" t="n">
        <x:v>8</x:v>
      </x:c>
      <x:c r="B32" s="19" t="str">
        <x:v>N</x:v>
      </x:c>
      <x:c r="C32" s="19" t="str">
        <x:v>checked_in_osm_extract</x:v>
      </x:c>
      <x:c r="D32" s="30" t="n">
        <x:v>1071.82</x:v>
      </x:c>
      <x:c r="E32" s="30" t="n">
        <x:v>250</x:v>
      </x:c>
      <x:c r="F32" s="30" t="n">
        <x:v>237.21</x:v>
      </x:c>
      <x:c r="G32" s="30" t="n">
        <x:v>234.18</x:v>
      </x:c>
      <x:c r="H32" s="24" t="str">
        <x:v>standardized_isolated_intersection_boundary</x:v>
      </x:c>
      <x:c r="I32" s="19" t="str">
        <x:v>high</x:v>
      </x:c>
      <x:c r="J32" s="19" t="str">
        <x:v>next_osm_topological_junction</x:v>
      </x:c>
    </x:row>
    <x:row r="33" ht="28" customHeight="1">
      <x:c r="A33" s="19" t="n">
        <x:v>8</x:v>
      </x:c>
      <x:c r="B33" s="19" t="str">
        <x:v>E</x:v>
      </x:c>
      <x:c r="C33" s="19" t="str">
        <x:v>checked_in_osm_extract</x:v>
      </x:c>
      <x:c r="D33" s="30" t="n">
        <x:v>2136.53</x:v>
      </x:c>
      <x:c r="E33" s="30" t="n">
        <x:v>250</x:v>
      </x:c>
      <x:c r="F33" s="30" t="n">
        <x:v>237.26</x:v>
      </x:c>
      <x:c r="G33" s="30" t="n">
        <x:v>236.86</x:v>
      </x:c>
      <x:c r="H33" s="24" t="str">
        <x:v>standardized_isolated_intersection_boundary</x:v>
      </x:c>
      <x:c r="I33" s="19" t="str">
        <x:v>high</x:v>
      </x:c>
      <x:c r="J33" s="19" t="str">
        <x:v>next_osm_topological_junction</x:v>
      </x:c>
    </x:row>
    <x:row r="34" ht="28" customHeight="1">
      <x:c r="A34" s="19" t="n">
        <x:v>8</x:v>
      </x:c>
      <x:c r="B34" s="19" t="str">
        <x:v>S</x:v>
      </x:c>
      <x:c r="C34" s="19" t="str">
        <x:v>checked_in_osm_extract</x:v>
      </x:c>
      <x:c r="D34" s="30" t="n">
        <x:v>11.88</x:v>
      </x:c>
      <x:c r="E34" s="30" t="n">
        <x:v>250</x:v>
      </x:c>
      <x:c r="F34" s="30" t="n">
        <x:v>235.49</x:v>
      </x:c>
      <x:c r="G34" s="30" t="n">
        <x:v>235.49</x:v>
      </x:c>
      <x:c r="H34" s="24" t="str">
        <x:v>standardized_isolated_intersection_boundary</x:v>
      </x:c>
      <x:c r="I34" s="19" t="str">
        <x:v>high</x:v>
      </x:c>
      <x:c r="J34" s="19" t="str">
        <x:v>next_osm_topological_junction</x:v>
      </x:c>
    </x:row>
    <x:row r="35" ht="28" customHeight="1">
      <x:c r="A35" s="19" t="n">
        <x:v>8</x:v>
      </x:c>
      <x:c r="B35" s="19" t="str">
        <x:v>W</x:v>
      </x:c>
      <x:c r="C35" s="19" t="str">
        <x:v>checked_in_osm_extract</x:v>
      </x:c>
      <x:c r="D35" s="30" t="n">
        <x:v>19.04</x:v>
      </x:c>
      <x:c r="E35" s="30" t="n">
        <x:v>250</x:v>
      </x:c>
      <x:c r="F35" s="30" t="n">
        <x:v>237.08</x:v>
      </x:c>
      <x:c r="G35" s="30" t="n">
        <x:v>237.08</x:v>
      </x:c>
      <x:c r="H35" s="24" t="str">
        <x:v>standardized_isolated_intersection_boundary</x:v>
      </x:c>
      <x:c r="I35" s="19" t="str">
        <x:v>high</x:v>
      </x:c>
      <x:c r="J35" s="19" t="str">
        <x:v>next_osm_topological_junction</x:v>
      </x:c>
    </x:row>
    <x:row r="36" ht="28" customHeight="1">
      <x:c r="A36" s="19" t="n">
        <x:v>9</x:v>
      </x:c>
      <x:c r="B36" s="19" t="str">
        <x:v>N</x:v>
      </x:c>
      <x:c r="C36" s="19" t="str">
        <x:v>checked_in_osm_extract</x:v>
      </x:c>
      <x:c r="D36" s="30" t="n">
        <x:v>3363.7</x:v>
      </x:c>
      <x:c r="E36" s="30" t="n">
        <x:v>250</x:v>
      </x:c>
      <x:c r="F36" s="30" t="n">
        <x:v>239.89</x:v>
      </x:c>
      <x:c r="G36" s="30" t="n">
        <x:v>239.44</x:v>
      </x:c>
      <x:c r="H36" s="24" t="str">
        <x:v>standardized_isolated_intersection_boundary</x:v>
      </x:c>
      <x:c r="I36" s="19" t="str">
        <x:v>high</x:v>
      </x:c>
      <x:c r="J36" s="19" t="str">
        <x:v>next_osm_topological_junction</x:v>
      </x:c>
    </x:row>
    <x:row r="37" ht="28" customHeight="1">
      <x:c r="A37" s="19" t="n">
        <x:v>9</x:v>
      </x:c>
      <x:c r="B37" s="19" t="str">
        <x:v>E</x:v>
      </x:c>
      <x:c r="C37" s="19" t="str">
        <x:v>checked_in_osm_extract</x:v>
      </x:c>
      <x:c r="D37" s="30" t="n">
        <x:v>2333.37</x:v>
      </x:c>
      <x:c r="E37" s="30" t="n">
        <x:v>250</x:v>
      </x:c>
      <x:c r="F37" s="30" t="n">
        <x:v>239.32</x:v>
      </x:c>
      <x:c r="G37" s="30" t="n">
        <x:v>239.32</x:v>
      </x:c>
      <x:c r="H37" s="24" t="str">
        <x:v>standardized_isolated_intersection_boundary</x:v>
      </x:c>
      <x:c r="I37" s="19" t="str">
        <x:v>high</x:v>
      </x:c>
      <x:c r="J37" s="19" t="str">
        <x:v>next_osm_topological_junction</x:v>
      </x:c>
    </x:row>
    <x:row r="38" ht="28" customHeight="1">
      <x:c r="A38" s="19" t="n">
        <x:v>9</x:v>
      </x:c>
      <x:c r="B38" s="19" t="str">
        <x:v>S</x:v>
      </x:c>
      <x:c r="C38" s="19" t="str">
        <x:v>checked_in_osm_extract</x:v>
      </x:c>
      <x:c r="D38" s="30" t="n">
        <x:v>1008.82</x:v>
      </x:c>
      <x:c r="E38" s="30" t="n">
        <x:v>250</x:v>
      </x:c>
      <x:c r="F38" s="30" t="n">
        <x:v>238.93</x:v>
      </x:c>
      <x:c r="G38" s="30" t="n">
        <x:v>239.72</x:v>
      </x:c>
      <x:c r="H38" s="24" t="str">
        <x:v>standardized_isolated_intersection_boundary</x:v>
      </x:c>
      <x:c r="I38" s="19" t="str">
        <x:v>high</x:v>
      </x:c>
      <x:c r="J38" s="19" t="str">
        <x:v>next_osm_topological_junction</x:v>
      </x:c>
    </x:row>
    <x:row r="39" ht="28" customHeight="1">
      <x:c r="A39" s="19" t="n">
        <x:v>9</x:v>
      </x:c>
      <x:c r="B39" s="19" t="str">
        <x:v>W</x:v>
      </x:c>
      <x:c r="C39" s="19" t="str">
        <x:v>checked_in_osm_extract</x:v>
      </x:c>
      <x:c r="D39" s="30" t="n">
        <x:v>12.33</x:v>
      </x:c>
      <x:c r="E39" s="30" t="n">
        <x:v>250</x:v>
      </x:c>
      <x:c r="F39" s="30" t="n">
        <x:v>239.36</x:v>
      </x:c>
      <x:c r="G39" s="30" t="n">
        <x:v>239.36</x:v>
      </x:c>
      <x:c r="H39" s="24" t="str">
        <x:v>standardized_isolated_intersection_boundary</x:v>
      </x:c>
      <x:c r="I39" s="19" t="str">
        <x:v>high</x:v>
      </x:c>
      <x:c r="J39" s="19" t="str">
        <x:v>next_osm_topological_junction</x:v>
      </x:c>
    </x:row>
    <x:row r="40" ht="28" customHeight="1">
      <x:c r="A40" s="19" t="n">
        <x:v>10</x:v>
      </x:c>
      <x:c r="B40" s="19" t="str">
        <x:v>E</x:v>
      </x:c>
      <x:c r="C40" s="19" t="str">
        <x:v>checked_in_osm_extract</x:v>
      </x:c>
      <x:c r="D40" s="30" t="n">
        <x:v>114.95</x:v>
      </x:c>
      <x:c r="E40" s="30" t="n">
        <x:v>250</x:v>
      </x:c>
      <x:c r="F40" s="30" t="n">
        <x:v>244.19</x:v>
      </x:c>
      <x:c r="G40" s="30" t="n">
        <x:v>244.19</x:v>
      </x:c>
      <x:c r="H40" s="24" t="str">
        <x:v>standardized_isolated_intersection_boundary</x:v>
      </x:c>
      <x:c r="I40" s="19" t="str">
        <x:v>high</x:v>
      </x:c>
      <x:c r="J40" s="19" t="str">
        <x:v>next_osm_topological_junction</x:v>
      </x:c>
    </x:row>
    <x:row r="41" ht="28" customHeight="1">
      <x:c r="A41" s="19" t="n">
        <x:v>10</x:v>
      </x:c>
      <x:c r="B41" s="19" t="str">
        <x:v>S</x:v>
      </x:c>
      <x:c r="C41" s="19" t="str">
        <x:v>checked_in_osm_extract</x:v>
      </x:c>
      <x:c r="D41" s="30" t="n">
        <x:v>168.24</x:v>
      </x:c>
      <x:c r="E41" s="30" t="n">
        <x:v>250</x:v>
      </x:c>
      <x:c r="F41" s="30" t="n">
        <x:v>243.17</x:v>
      </x:c>
      <x:c r="G41" s="30" t="n">
        <x:v>243.17</x:v>
      </x:c>
      <x:c r="H41" s="24" t="str">
        <x:v>standardized_isolated_intersection_boundary</x:v>
      </x:c>
      <x:c r="I41" s="19" t="str">
        <x:v>high</x:v>
      </x:c>
      <x:c r="J41" s="19" t="str">
        <x:v>next_osm_topological_junction</x:v>
      </x:c>
    </x:row>
    <x:row r="42" ht="28" customHeight="1">
      <x:c r="A42" s="19" t="n">
        <x:v>10</x:v>
      </x:c>
      <x:c r="B42" s="19" t="str">
        <x:v>W</x:v>
      </x:c>
      <x:c r="C42" s="19" t="str">
        <x:v>checked_in_osm_extract</x:v>
      </x:c>
      <x:c r="D42" s="30" t="n">
        <x:v>157.6</x:v>
      </x:c>
      <x:c r="E42" s="30" t="n">
        <x:v>250</x:v>
      </x:c>
      <x:c r="F42" s="30" t="n">
        <x:v>243.17</x:v>
      </x:c>
      <x:c r="G42" s="30" t="n">
        <x:v>243.17</x:v>
      </x:c>
      <x:c r="H42" s="24" t="str">
        <x:v>standardized_isolated_intersection_boundary</x:v>
      </x:c>
      <x:c r="I42" s="19" t="str">
        <x:v>high</x:v>
      </x:c>
      <x:c r="J42" s="19" t="str">
        <x:v>next_osm_topological_junction</x:v>
      </x:c>
    </x:row>
    <x:row r="43" ht="28" customHeight="1">
      <x:c r="A43" s="19" t="n">
        <x:v>11</x:v>
      </x:c>
      <x:c r="B43" s="19" t="str">
        <x:v>N</x:v>
      </x:c>
      <x:c r="C43" s="19" t="str">
        <x:v>checked_in_osm_extract</x:v>
      </x:c>
      <x:c r="D43" s="30" t="n">
        <x:v>26.23</x:v>
      </x:c>
      <x:c r="E43" s="30" t="n">
        <x:v>250</x:v>
      </x:c>
      <x:c r="F43" s="30" t="n">
        <x:v>239.2</x:v>
      </x:c>
      <x:c r="G43" s="30" t="n">
        <x:v>239.2</x:v>
      </x:c>
      <x:c r="H43" s="24" t="str">
        <x:v>standardized_isolated_intersection_boundary</x:v>
      </x:c>
      <x:c r="I43" s="19" t="str">
        <x:v>high</x:v>
      </x:c>
      <x:c r="J43" s="19" t="str">
        <x:v>next_osm_topological_junction</x:v>
      </x:c>
    </x:row>
    <x:row r="44" ht="28" customHeight="1">
      <x:c r="A44" s="19" t="n">
        <x:v>11</x:v>
      </x:c>
      <x:c r="B44" s="19" t="str">
        <x:v>E</x:v>
      </x:c>
      <x:c r="C44" s="19" t="str">
        <x:v>checked_in_osm_extract</x:v>
      </x:c>
      <x:c r="D44" s="30" t="n">
        <x:v>14.29</x:v>
      </x:c>
      <x:c r="E44" s="30" t="n">
        <x:v>250</x:v>
      </x:c>
      <x:c r="F44" s="30" t="n">
        <x:v>242.92</x:v>
      </x:c>
      <x:c r="G44" s="30" t="n">
        <x:v>242.92</x:v>
      </x:c>
      <x:c r="H44" s="24" t="str">
        <x:v>standardized_isolated_intersection_boundary</x:v>
      </x:c>
      <x:c r="I44" s="19" t="str">
        <x:v>high</x:v>
      </x:c>
      <x:c r="J44" s="19" t="str">
        <x:v>next_osm_topological_junction</x:v>
      </x:c>
    </x:row>
    <x:row r="45" ht="28" customHeight="1">
      <x:c r="A45" s="19" t="n">
        <x:v>11</x:v>
      </x:c>
      <x:c r="B45" s="19" t="str">
        <x:v>S</x:v>
      </x:c>
      <x:c r="C45" s="19" t="str">
        <x:v>checked_in_osm_extract</x:v>
      </x:c>
      <x:c r="D45" s="30" t="n">
        <x:v>2501.9</x:v>
      </x:c>
      <x:c r="E45" s="30" t="n">
        <x:v>250</x:v>
      </x:c>
      <x:c r="F45" s="30" t="n">
        <x:v>239.59</x:v>
      </x:c>
      <x:c r="G45" s="30" t="n">
        <x:v>239.59</x:v>
      </x:c>
      <x:c r="H45" s="24" t="str">
        <x:v>standardized_isolated_intersection_boundary</x:v>
      </x:c>
      <x:c r="I45" s="19" t="str">
        <x:v>high</x:v>
      </x:c>
      <x:c r="J45" s="19" t="str">
        <x:v>next_osm_topological_junction</x:v>
      </x:c>
    </x:row>
    <x:row r="46" ht="28" customHeight="1">
      <x:c r="A46" s="19" t="n">
        <x:v>11</x:v>
      </x:c>
      <x:c r="B46" s="19" t="str">
        <x:v>W</x:v>
      </x:c>
      <x:c r="C46" s="19" t="str">
        <x:v>checked_in_osm_extract</x:v>
      </x:c>
      <x:c r="D46" s="30" t="n">
        <x:v>2188.39</x:v>
      </x:c>
      <x:c r="E46" s="30" t="n">
        <x:v>250</x:v>
      </x:c>
      <x:c r="F46" s="30" t="n">
        <x:v>241.9</x:v>
      </x:c>
      <x:c r="G46" s="30" t="n">
        <x:v>242.31</x:v>
      </x:c>
      <x:c r="H46" s="24" t="str">
        <x:v>standardized_isolated_intersection_boundary</x:v>
      </x:c>
      <x:c r="I46" s="19" t="str">
        <x:v>high</x:v>
      </x:c>
      <x:c r="J46" s="19" t="str">
        <x:v>next_osm_topological_junction</x:v>
      </x:c>
    </x:row>
    <x:row r="47" ht="28" customHeight="1">
      <x:c r="A47" s="19" t="n">
        <x:v>12</x:v>
      </x:c>
      <x:c r="B47" s="19" t="str">
        <x:v>N</x:v>
      </x:c>
      <x:c r="C47" s="19" t="str">
        <x:v>checked_in_osm_extract</x:v>
      </x:c>
      <x:c r="D47" s="30" t="n">
        <x:v>919.28</x:v>
      </x:c>
      <x:c r="E47" s="30" t="n">
        <x:v>250</x:v>
      </x:c>
      <x:c r="F47" s="30" t="n">
        <x:v>239.1</x:v>
      </x:c>
      <x:c r="G47" s="30" t="n">
        <x:v>239.44</x:v>
      </x:c>
      <x:c r="H47" s="24" t="str">
        <x:v>standardized_isolated_intersection_boundary</x:v>
      </x:c>
      <x:c r="I47" s="19" t="str">
        <x:v>high</x:v>
      </x:c>
      <x:c r="J47" s="19" t="str">
        <x:v>next_osm_topological_junction</x:v>
      </x:c>
    </x:row>
    <x:row r="48" ht="28" customHeight="1">
      <x:c r="A48" s="19" t="n">
        <x:v>12</x:v>
      </x:c>
      <x:c r="B48" s="19" t="str">
        <x:v>E</x:v>
      </x:c>
      <x:c r="C48" s="19" t="str">
        <x:v>checked_in_osm_extract</x:v>
      </x:c>
      <x:c r="D48" s="30" t="n">
        <x:v>1641</x:v>
      </x:c>
      <x:c r="E48" s="30" t="n">
        <x:v>250</x:v>
      </x:c>
      <x:c r="F48" s="30" t="n">
        <x:v>239.12</x:v>
      </x:c>
      <x:c r="G48" s="30" t="n">
        <x:v>239.65</x:v>
      </x:c>
      <x:c r="H48" s="24" t="str">
        <x:v>standardized_isolated_intersection_boundary</x:v>
      </x:c>
      <x:c r="I48" s="19" t="str">
        <x:v>high</x:v>
      </x:c>
      <x:c r="J48" s="19" t="str">
        <x:v>next_osm_topological_junction</x:v>
      </x:c>
    </x:row>
    <x:row r="49" ht="28" customHeight="1">
      <x:c r="A49" s="19" t="n">
        <x:v>12</x:v>
      </x:c>
      <x:c r="B49" s="19" t="str">
        <x:v>S</x:v>
      </x:c>
      <x:c r="C49" s="19" t="str">
        <x:v>checked_in_osm_extract</x:v>
      </x:c>
      <x:c r="D49" s="30" t="n">
        <x:v>2098.51</x:v>
      </x:c>
      <x:c r="E49" s="30" t="n">
        <x:v>250</x:v>
      </x:c>
      <x:c r="F49" s="30" t="n">
        <x:v>239.53</x:v>
      </x:c>
      <x:c r="G49" s="30" t="n">
        <x:v>239.8</x:v>
      </x:c>
      <x:c r="H49" s="24" t="str">
        <x:v>standardized_isolated_intersection_boundary</x:v>
      </x:c>
      <x:c r="I49" s="19" t="str">
        <x:v>high</x:v>
      </x:c>
      <x:c r="J49" s="19" t="str">
        <x:v>next_osm_topological_junction</x:v>
      </x:c>
    </x:row>
    <x:row r="50" ht="28" customHeight="1">
      <x:c r="A50" s="19" t="n">
        <x:v>12</x:v>
      </x:c>
      <x:c r="B50" s="19" t="str">
        <x:v>W</x:v>
      </x:c>
      <x:c r="C50" s="19" t="str">
        <x:v>checked_in_osm_extract</x:v>
      </x:c>
      <x:c r="D50" s="30" t="n">
        <x:v>8.2</x:v>
      </x:c>
      <x:c r="E50" s="30" t="n">
        <x:v>250</x:v>
      </x:c>
      <x:c r="F50" s="30" t="n">
        <x:v>239.28</x:v>
      </x:c>
      <x:c r="G50" s="30" t="n">
        <x:v>239.28</x:v>
      </x:c>
      <x:c r="H50" s="24" t="str">
        <x:v>standardized_isolated_intersection_boundary</x:v>
      </x:c>
      <x:c r="I50" s="19" t="str">
        <x:v>high</x:v>
      </x:c>
      <x:c r="J50" s="19" t="str">
        <x:v>next_osm_topological_junction</x:v>
      </x:c>
    </x:row>
    <x:row r="51" ht="28" customHeight="1">
      <x:c r="A51" s="19" t="n">
        <x:v>13</x:v>
      </x:c>
      <x:c r="B51" s="19" t="str">
        <x:v>E</x:v>
      </x:c>
      <x:c r="C51" s="19" t="str">
        <x:v>explicit_osm_chain</x:v>
      </x:c>
      <x:c r="D51" s="30" t="n">
        <x:v>2996.25</x:v>
      </x:c>
      <x:c r="E51" s="30" t="n">
        <x:v>250</x:v>
      </x:c>
      <x:c r="F51" s="30" t="n">
        <x:v>241.63</x:v>
      </x:c>
      <x:c r="G51" s="30" t="n">
        <x:v>244.29</x:v>
      </x:c>
      <x:c r="H51" s="24" t="str">
        <x:v>standardized_isolated_intersection_boundary</x:v>
      </x:c>
      <x:c r="I51" s="19" t="str">
        <x:v>high</x:v>
      </x:c>
      <x:c r="J51" s="19" t="str">
        <x:v>next_osm_topological_junction</x:v>
      </x:c>
    </x:row>
    <x:row r="52" ht="28" customHeight="1">
      <x:c r="A52" s="19" t="n">
        <x:v>13</x:v>
      </x:c>
      <x:c r="B52" s="19" t="str">
        <x:v>W</x:v>
      </x:c>
      <x:c r="C52" s="19" t="str">
        <x:v>explicit_osm_chain</x:v>
      </x:c>
      <x:c r="D52" s="30" t="n">
        <x:v>537.09</x:v>
      </x:c>
      <x:c r="E52" s="30" t="n">
        <x:v>250</x:v>
      </x:c>
      <x:c r="F52" s="30" t="n">
        <x:v>241.79</x:v>
      </x:c>
      <x:c r="G52" s="30" t="n">
        <x:v>241.35</x:v>
      </x:c>
      <x:c r="H52" s="24" t="str">
        <x:v>standardized_isolated_intersection_boundary</x:v>
      </x:c>
      <x:c r="I52" s="19" t="str">
        <x:v>high</x:v>
      </x:c>
      <x:c r="J52" s="19" t="str">
        <x:v>next_osm_topological_junction</x:v>
      </x:c>
    </x:row>
    <x:row r="53" ht="28" customHeight="1">
      <x:c r="A53" s="19" t="n">
        <x:v>13</x:v>
      </x:c>
      <x:c r="B53" s="19" t="str">
        <x:v>N</x:v>
      </x:c>
      <x:c r="C53" s="19" t="str">
        <x:v>explicit_osm_chain</x:v>
      </x:c>
      <x:c r="D53" s="30" t="n">
        <x:v>472.18</x:v>
      </x:c>
      <x:c r="E53" s="30" t="n">
        <x:v>250</x:v>
      </x:c>
      <x:c r="F53" s="30" t="n">
        <x:v>235.89</x:v>
      </x:c>
      <x:c r="G53" s="30" t="n">
        <x:v>235.87</x:v>
      </x:c>
      <x:c r="H53" s="24" t="str">
        <x:v>standardized_isolated_intersection_boundary</x:v>
      </x:c>
      <x:c r="I53" s="19" t="str">
        <x:v>high</x:v>
      </x:c>
      <x:c r="J53" s="19" t="str">
        <x:v>next_osm_topological_junction</x:v>
      </x:c>
    </x:row>
    <x:row r="54" ht="28" customHeight="1">
      <x:c r="A54" s="19" t="n">
        <x:v>14</x:v>
      </x:c>
      <x:c r="B54" s="19" t="str">
        <x:v>E</x:v>
      </x:c>
      <x:c r="C54" s="19" t="str">
        <x:v>explicit_osm_chain</x:v>
      </x:c>
      <x:c r="D54" s="30" t="n">
        <x:v>156.92</x:v>
      </x:c>
      <x:c r="E54" s="30" t="n">
        <x:v>250</x:v>
      </x:c>
      <x:c r="F54" s="30" t="n">
        <x:v>242.64</x:v>
      </x:c>
      <x:c r="G54" s="30" t="n">
        <x:v>242.64</x:v>
      </x:c>
      <x:c r="H54" s="24" t="str">
        <x:v>standardized_isolated_intersection_boundary</x:v>
      </x:c>
      <x:c r="I54" s="19" t="str">
        <x:v>high</x:v>
      </x:c>
      <x:c r="J54" s="19" t="str">
        <x:v>next_osm_topological_junction</x:v>
      </x:c>
    </x:row>
    <x:row r="55" ht="28" customHeight="1">
      <x:c r="A55" s="19" t="n">
        <x:v>14</x:v>
      </x:c>
      <x:c r="B55" s="19" t="str">
        <x:v>N</x:v>
      </x:c>
      <x:c r="C55" s="19" t="str">
        <x:v>explicit_osm_chain</x:v>
      </x:c>
      <x:c r="D55" s="30" t="n">
        <x:v>191.56</x:v>
      </x:c>
      <x:c r="E55" s="30" t="n">
        <x:v>250</x:v>
      </x:c>
      <x:c r="F55" s="30" t="n">
        <x:v>242.19</x:v>
      </x:c>
      <x:c r="G55" s="30" t="n">
        <x:v>243.44</x:v>
      </x:c>
      <x:c r="H55" s="24" t="str">
        <x:v>standardized_isolated_intersection_boundary</x:v>
      </x:c>
      <x:c r="I55" s="19" t="str">
        <x:v>high</x:v>
      </x:c>
      <x:c r="J55" s="19" t="str">
        <x:v>next_osm_topological_junction</x:v>
      </x:c>
    </x:row>
    <x:row r="56" ht="28" customHeight="1">
      <x:c r="A56" s="19" t="n">
        <x:v>14</x:v>
      </x:c>
      <x:c r="B56" s="19" t="str">
        <x:v>S</x:v>
      </x:c>
      <x:c r="C56" s="19" t="str">
        <x:v>explicit_osm_chain</x:v>
      </x:c>
      <x:c r="D56" s="30" t="n">
        <x:v>45.06</x:v>
      </x:c>
      <x:c r="E56" s="30" t="n">
        <x:v>250</x:v>
      </x:c>
      <x:c r="F56" s="30" t="n">
        <x:v>242.64</x:v>
      </x:c>
      <x:c r="G56" s="30" t="n">
        <x:v>242.64</x:v>
      </x:c>
      <x:c r="H56" s="24" t="str">
        <x:v>standardized_isolated_intersection_boundary</x:v>
      </x:c>
      <x:c r="I56" s="19" t="str">
        <x:v>high</x:v>
      </x:c>
      <x:c r="J56" s="19" t="str">
        <x:v>next_osm_topological_junction</x:v>
      </x:c>
    </x:row>
    <x:row r="57" ht="28" customHeight="1">
      <x:c r="A57" s="19" t="n">
        <x:v>15</x:v>
      </x:c>
      <x:c r="B57" s="19" t="str">
        <x:v>N</x:v>
      </x:c>
      <x:c r="C57" s="19" t="str">
        <x:v>checked_in_osm_extract</x:v>
      </x:c>
      <x:c r="D57" s="30" t="n">
        <x:v>139.75</x:v>
      </x:c>
      <x:c r="E57" s="30" t="n">
        <x:v>250</x:v>
      </x:c>
      <x:c r="F57" s="30" t="n">
        <x:v>236.04</x:v>
      </x:c>
      <x:c r="G57" s="30" t="n">
        <x:v>236.33</x:v>
      </x:c>
      <x:c r="H57" s="24" t="str">
        <x:v>standardized_isolated_intersection_boundary</x:v>
      </x:c>
      <x:c r="I57" s="19" t="str">
        <x:v>high</x:v>
      </x:c>
      <x:c r="J57" s="19" t="str">
        <x:v>next_osm_topological_junction</x:v>
      </x:c>
    </x:row>
    <x:row r="58" ht="28" customHeight="1">
      <x:c r="A58" s="19" t="n">
        <x:v>15</x:v>
      </x:c>
      <x:c r="B58" s="19" t="str">
        <x:v>E</x:v>
      </x:c>
      <x:c r="C58" s="19" t="str">
        <x:v>checked_in_osm_extract</x:v>
      </x:c>
      <x:c r="D58" s="30" t="n">
        <x:v>15.89</x:v>
      </x:c>
      <x:c r="E58" s="30" t="n">
        <x:v>250</x:v>
      </x:c>
      <x:c r="F58" s="30" t="n">
        <x:v>236.43</x:v>
      </x:c>
      <x:c r="G58" s="30" t="n">
        <x:v>236.42</x:v>
      </x:c>
      <x:c r="H58" s="24" t="str">
        <x:v>standardized_isolated_intersection_boundary</x:v>
      </x:c>
      <x:c r="I58" s="19" t="str">
        <x:v>high</x:v>
      </x:c>
      <x:c r="J58" s="19" t="str">
        <x:v>next_osm_topological_junction</x:v>
      </x:c>
    </x:row>
    <x:row r="59" ht="28" customHeight="1">
      <x:c r="A59" s="19" t="n">
        <x:v>15</x:v>
      </x:c>
      <x:c r="B59" s="19" t="str">
        <x:v>S</x:v>
      </x:c>
      <x:c r="C59" s="19" t="str">
        <x:v>checked_in_osm_extract</x:v>
      </x:c>
      <x:c r="D59" s="30" t="n">
        <x:v>103.36</x:v>
      </x:c>
      <x:c r="E59" s="30" t="n">
        <x:v>250</x:v>
      </x:c>
      <x:c r="F59" s="30" t="n">
        <x:v>236.46</x:v>
      </x:c>
      <x:c r="G59" s="30" t="n">
        <x:v>236.46</x:v>
      </x:c>
      <x:c r="H59" s="24" t="str">
        <x:v>standardized_isolated_intersection_boundary</x:v>
      </x:c>
      <x:c r="I59" s="19" t="str">
        <x:v>high</x:v>
      </x:c>
      <x:c r="J59" s="19" t="str">
        <x:v>next_osm_topological_junction</x:v>
      </x:c>
    </x:row>
    <x:row r="60" ht="28" customHeight="1">
      <x:c r="A60" s="19" t="n">
        <x:v>15</x:v>
      </x:c>
      <x:c r="B60" s="19" t="str">
        <x:v>W</x:v>
      </x:c>
      <x:c r="C60" s="19" t="str">
        <x:v>checked_in_osm_extract</x:v>
      </x:c>
      <x:c r="D60" s="30" t="n">
        <x:v>136.58</x:v>
      </x:c>
      <x:c r="E60" s="30" t="n">
        <x:v>250</x:v>
      </x:c>
      <x:c r="F60" s="30" t="n">
        <x:v>236.21</x:v>
      </x:c>
      <x:c r="G60" s="30" t="n">
        <x:v>236.21</x:v>
      </x:c>
      <x:c r="H60" s="24" t="str">
        <x:v>standardized_isolated_intersection_boundary</x:v>
      </x:c>
      <x:c r="I60" s="19" t="str">
        <x:v>high</x:v>
      </x:c>
      <x:c r="J60" s="19" t="str">
        <x:v>next_osm_topological_junction</x:v>
      </x:c>
    </x:row>
    <x:row r="61" ht="28" customHeight="1">
      <x:c r="A61" s="19" t="n">
        <x:v>16</x:v>
      </x:c>
      <x:c r="B61" s="19" t="str">
        <x:v>N</x:v>
      </x:c>
      <x:c r="C61" s="19" t="str">
        <x:v>checked_in_osm_extract</x:v>
      </x:c>
      <x:c r="D61" s="30" t="n">
        <x:v>209.98</x:v>
      </x:c>
      <x:c r="E61" s="30" t="n">
        <x:v>250</x:v>
      </x:c>
      <x:c r="F61" s="30" t="n">
        <x:v>236.28</x:v>
      </x:c>
      <x:c r="G61" s="30" t="n">
        <x:v>236.39</x:v>
      </x:c>
      <x:c r="H61" s="24" t="str">
        <x:v>standardized_isolated_intersection_boundary</x:v>
      </x:c>
      <x:c r="I61" s="19" t="str">
        <x:v>high</x:v>
      </x:c>
      <x:c r="J61" s="19" t="str">
        <x:v>next_osm_topological_junction</x:v>
      </x:c>
    </x:row>
    <x:row r="62" ht="28" customHeight="1">
      <x:c r="A62" s="19" t="n">
        <x:v>16</x:v>
      </x:c>
      <x:c r="B62" s="19" t="str">
        <x:v>E</x:v>
      </x:c>
      <x:c r="C62" s="19" t="str">
        <x:v>checked_in_osm_extract</x:v>
      </x:c>
      <x:c r="D62" s="30" t="n">
        <x:v>143.05</x:v>
      </x:c>
      <x:c r="E62" s="30" t="n">
        <x:v>250</x:v>
      </x:c>
      <x:c r="F62" s="30" t="n">
        <x:v>233.33</x:v>
      </x:c>
      <x:c r="G62" s="30" t="n">
        <x:v>233.32</x:v>
      </x:c>
      <x:c r="H62" s="24" t="str">
        <x:v>standardized_isolated_intersection_boundary</x:v>
      </x:c>
      <x:c r="I62" s="19" t="str">
        <x:v>high</x:v>
      </x:c>
      <x:c r="J62" s="19" t="str">
        <x:v>next_osm_topological_junction</x:v>
      </x:c>
    </x:row>
    <x:row r="63" ht="28" customHeight="1">
      <x:c r="A63" s="19" t="n">
        <x:v>16</x:v>
      </x:c>
      <x:c r="B63" s="19" t="str">
        <x:v>S</x:v>
      </x:c>
      <x:c r="C63" s="19" t="str">
        <x:v>checked_in_osm_extract</x:v>
      </x:c>
      <x:c r="D63" s="30" t="n">
        <x:v>57.55</x:v>
      </x:c>
      <x:c r="E63" s="30" t="n">
        <x:v>250</x:v>
      </x:c>
      <x:c r="F63" s="30" t="n">
        <x:v>235.55</x:v>
      </x:c>
      <x:c r="G63" s="30" t="n">
        <x:v>235.55</x:v>
      </x:c>
      <x:c r="H63" s="24" t="str">
        <x:v>standardized_isolated_intersection_boundary</x:v>
      </x:c>
      <x:c r="I63" s="19" t="str">
        <x:v>high</x:v>
      </x:c>
      <x:c r="J63" s="19" t="str">
        <x:v>next_osm_topological_junction</x:v>
      </x:c>
    </x:row>
    <x:row r="64" ht="28" customHeight="1">
      <x:c r="A64" s="19" t="n">
        <x:v>16</x:v>
      </x:c>
      <x:c r="B64" s="19" t="str">
        <x:v>W</x:v>
      </x:c>
      <x:c r="C64" s="19" t="str">
        <x:v>checked_in_osm_extract</x:v>
      </x:c>
      <x:c r="D64" s="30" t="n">
        <x:v>181.01</x:v>
      </x:c>
      <x:c r="E64" s="30" t="n">
        <x:v>250</x:v>
      </x:c>
      <x:c r="F64" s="30" t="n">
        <x:v>235.61</x:v>
      </x:c>
      <x:c r="G64" s="30" t="n">
        <x:v>236.74</x:v>
      </x:c>
      <x:c r="H64" s="24" t="str">
        <x:v>standardized_isolated_intersection_boundary</x:v>
      </x:c>
      <x:c r="I64" s="19" t="str">
        <x:v>high</x:v>
      </x:c>
      <x:c r="J64" s="19" t="str">
        <x:v>next_osm_topological_junction</x:v>
      </x:c>
    </x:row>
    <x:row r="65" ht="28" customHeight="1">
      <x:c r="A65" s="19" t="n">
        <x:v>17</x:v>
      </x:c>
      <x:c r="B65" s="19" t="str">
        <x:v>N</x:v>
      </x:c>
      <x:c r="C65" s="19" t="str">
        <x:v>checked_in_osm_extract</x:v>
      </x:c>
      <x:c r="D65" s="30" t="n">
        <x:v>264.04</x:v>
      </x:c>
      <x:c r="E65" s="30" t="n">
        <x:v>250</x:v>
      </x:c>
      <x:c r="F65" s="30" t="n">
        <x:v>236.33</x:v>
      </x:c>
      <x:c r="G65" s="30" t="n">
        <x:v>236.33</x:v>
      </x:c>
      <x:c r="H65" s="24" t="str">
        <x:v>standardized_isolated_intersection_boundary</x:v>
      </x:c>
      <x:c r="I65" s="19" t="str">
        <x:v>high</x:v>
      </x:c>
      <x:c r="J65" s="19" t="str">
        <x:v>next_osm_topological_junction</x:v>
      </x:c>
    </x:row>
    <x:row r="66" ht="28" customHeight="1">
      <x:c r="A66" s="19" t="n">
        <x:v>17</x:v>
      </x:c>
      <x:c r="B66" s="19" t="str">
        <x:v>E</x:v>
      </x:c>
      <x:c r="C66" s="19" t="str">
        <x:v>checked_in_osm_extract</x:v>
      </x:c>
      <x:c r="D66" s="30" t="n">
        <x:v>11.76</x:v>
      </x:c>
      <x:c r="E66" s="30" t="n">
        <x:v>250</x:v>
      </x:c>
      <x:c r="F66" s="30" t="n">
        <x:v>236.36</x:v>
      </x:c>
      <x:c r="G66" s="30" t="n">
        <x:v>236.36</x:v>
      </x:c>
      <x:c r="H66" s="24" t="str">
        <x:v>standardized_isolated_intersection_boundary</x:v>
      </x:c>
      <x:c r="I66" s="19" t="str">
        <x:v>high</x:v>
      </x:c>
      <x:c r="J66" s="19" t="str">
        <x:v>next_osm_topological_junction</x:v>
      </x:c>
    </x:row>
    <x:row r="67" ht="28" customHeight="1">
      <x:c r="A67" s="19" t="n">
        <x:v>17</x:v>
      </x:c>
      <x:c r="B67" s="19" t="str">
        <x:v>S</x:v>
      </x:c>
      <x:c r="C67" s="19" t="str">
        <x:v>checked_in_osm_extract</x:v>
      </x:c>
      <x:c r="D67" s="30" t="n">
        <x:v>189</x:v>
      </x:c>
      <x:c r="E67" s="30" t="n">
        <x:v>250</x:v>
      </x:c>
      <x:c r="F67" s="30" t="n">
        <x:v>239.57</x:v>
      </x:c>
      <x:c r="G67" s="30" t="n">
        <x:v>239.57</x:v>
      </x:c>
      <x:c r="H67" s="24" t="str">
        <x:v>standardized_isolated_intersection_boundary</x:v>
      </x:c>
      <x:c r="I67" s="19" t="str">
        <x:v>high</x:v>
      </x:c>
      <x:c r="J67" s="19" t="str">
        <x:v>next_osm_topological_junction</x:v>
      </x:c>
    </x:row>
    <x:row r="68" ht="28" customHeight="1">
      <x:c r="A68" s="19" t="n">
        <x:v>18</x:v>
      </x:c>
      <x:c r="B68" s="19" t="str">
        <x:v>N</x:v>
      </x:c>
      <x:c r="C68" s="19" t="str">
        <x:v>checked_in_osm_extract</x:v>
      </x:c>
      <x:c r="D68" s="30" t="n">
        <x:v>202.36</x:v>
      </x:c>
      <x:c r="E68" s="30" t="n">
        <x:v>250</x:v>
      </x:c>
      <x:c r="F68" s="30" t="n">
        <x:v>236.26</x:v>
      </x:c>
      <x:c r="G68" s="30" t="n">
        <x:v>236.26</x:v>
      </x:c>
      <x:c r="H68" s="24" t="str">
        <x:v>standardized_isolated_intersection_boundary</x:v>
      </x:c>
      <x:c r="I68" s="19" t="str">
        <x:v>high</x:v>
      </x:c>
      <x:c r="J68" s="19" t="str">
        <x:v>next_osm_topological_junction</x:v>
      </x:c>
    </x:row>
    <x:row r="69" ht="28" customHeight="1">
      <x:c r="A69" s="19" t="n">
        <x:v>18</x:v>
      </x:c>
      <x:c r="B69" s="19" t="str">
        <x:v>E</x:v>
      </x:c>
      <x:c r="C69" s="19" t="str">
        <x:v>checked_in_osm_extract</x:v>
      </x:c>
      <x:c r="D69" s="30" t="n">
        <x:v>120.07</x:v>
      </x:c>
      <x:c r="E69" s="30" t="n">
        <x:v>250</x:v>
      </x:c>
      <x:c r="F69" s="30" t="n">
        <x:v>235.86</x:v>
      </x:c>
      <x:c r="G69" s="30" t="n">
        <x:v>235.86</x:v>
      </x:c>
      <x:c r="H69" s="24" t="str">
        <x:v>standardized_isolated_intersection_boundary</x:v>
      </x:c>
      <x:c r="I69" s="19" t="str">
        <x:v>high</x:v>
      </x:c>
      <x:c r="J69" s="19" t="str">
        <x:v>next_osm_topological_junction</x:v>
      </x:c>
    </x:row>
    <x:row r="70" ht="28" customHeight="1">
      <x:c r="A70" s="19" t="n">
        <x:v>18</x:v>
      </x:c>
      <x:c r="B70" s="19" t="str">
        <x:v>S</x:v>
      </x:c>
      <x:c r="C70" s="19" t="str">
        <x:v>checked_in_osm_extract</x:v>
      </x:c>
      <x:c r="D70" s="30" t="n">
        <x:v>15.9</x:v>
      </x:c>
      <x:c r="E70" s="30" t="n">
        <x:v>250</x:v>
      </x:c>
      <x:c r="F70" s="30" t="n">
        <x:v>236.72</x:v>
      </x:c>
      <x:c r="G70" s="30" t="n">
        <x:v>236.72</x:v>
      </x:c>
      <x:c r="H70" s="24" t="str">
        <x:v>standardized_isolated_intersection_boundary</x:v>
      </x:c>
      <x:c r="I70" s="19" t="str">
        <x:v>high</x:v>
      </x:c>
      <x:c r="J70" s="19" t="str">
        <x:v>next_osm_topological_junction</x:v>
      </x:c>
    </x:row>
    <x:row r="71" ht="28" customHeight="1">
      <x:c r="A71" s="19" t="n">
        <x:v>18</x:v>
      </x:c>
      <x:c r="B71" s="19" t="str">
        <x:v>W</x:v>
      </x:c>
      <x:c r="C71" s="19" t="str">
        <x:v>checked_in_osm_extract</x:v>
      </x:c>
      <x:c r="D71" s="30" t="n">
        <x:v>15.02</x:v>
      </x:c>
      <x:c r="E71" s="30" t="n">
        <x:v>250</x:v>
      </x:c>
      <x:c r="F71" s="30" t="n">
        <x:v>236.42</x:v>
      </x:c>
      <x:c r="G71" s="30" t="n">
        <x:v>236.43</x:v>
      </x:c>
      <x:c r="H71" s="24" t="str">
        <x:v>standardized_isolated_intersection_boundary</x:v>
      </x:c>
      <x:c r="I71" s="19" t="str">
        <x:v>high</x:v>
      </x:c>
      <x:c r="J71" s="19" t="str">
        <x:v>next_osm_topological_junction</x:v>
      </x:c>
    </x:row>
    <x:row r="72" ht="28" customHeight="1">
      <x:c r="A72" s="19" t="n">
        <x:v>19</x:v>
      </x:c>
      <x:c r="B72" s="19" t="str">
        <x:v>N</x:v>
      </x:c>
      <x:c r="C72" s="19" t="str">
        <x:v>checked_in_osm_extract</x:v>
      </x:c>
      <x:c r="D72" s="30" t="n">
        <x:v>160.12</x:v>
      </x:c>
      <x:c r="E72" s="30" t="n">
        <x:v>250</x:v>
      </x:c>
      <x:c r="F72" s="30" t="n">
        <x:v>236.91</x:v>
      </x:c>
      <x:c r="G72" s="30" t="n">
        <x:v>236.91</x:v>
      </x:c>
      <x:c r="H72" s="24" t="str">
        <x:v>standardized_isolated_intersection_boundary</x:v>
      </x:c>
      <x:c r="I72" s="19" t="str">
        <x:v>high</x:v>
      </x:c>
      <x:c r="J72" s="19" t="str">
        <x:v>next_osm_topological_junction</x:v>
      </x:c>
    </x:row>
    <x:row r="73" ht="28" customHeight="1">
      <x:c r="A73" s="19" t="n">
        <x:v>19</x:v>
      </x:c>
      <x:c r="B73" s="19" t="str">
        <x:v>E</x:v>
      </x:c>
      <x:c r="C73" s="19" t="str">
        <x:v>checked_in_osm_extract</x:v>
      </x:c>
      <x:c r="D73" s="30" t="n">
        <x:v>186.5</x:v>
      </x:c>
      <x:c r="E73" s="30" t="n">
        <x:v>250</x:v>
      </x:c>
      <x:c r="F73" s="30" t="n">
        <x:v>234.44</x:v>
      </x:c>
      <x:c r="G73" s="30" t="n">
        <x:v>235.52</x:v>
      </x:c>
      <x:c r="H73" s="24" t="str">
        <x:v>standardized_isolated_intersection_boundary</x:v>
      </x:c>
      <x:c r="I73" s="19" t="str">
        <x:v>high</x:v>
      </x:c>
      <x:c r="J73" s="19" t="str">
        <x:v>next_osm_topological_junction</x:v>
      </x:c>
    </x:row>
    <x:row r="74" ht="28" customHeight="1">
      <x:c r="A74" s="19" t="n">
        <x:v>19</x:v>
      </x:c>
      <x:c r="B74" s="19" t="str">
        <x:v>S</x:v>
      </x:c>
      <x:c r="C74" s="19" t="str">
        <x:v>checked_in_osm_extract</x:v>
      </x:c>
      <x:c r="D74" s="30" t="n">
        <x:v>11.3</x:v>
      </x:c>
      <x:c r="E74" s="30" t="n">
        <x:v>250</x:v>
      </x:c>
      <x:c r="F74" s="30" t="n">
        <x:v>237.69</x:v>
      </x:c>
      <x:c r="G74" s="30" t="n">
        <x:v>237.69</x:v>
      </x:c>
      <x:c r="H74" s="24" t="str">
        <x:v>standardized_isolated_intersection_boundary</x:v>
      </x:c>
      <x:c r="I74" s="19" t="str">
        <x:v>high</x:v>
      </x:c>
      <x:c r="J74" s="19" t="str">
        <x:v>next_osm_topological_junction</x:v>
      </x:c>
    </x:row>
    <x:row r="75" ht="28" customHeight="1">
      <x:c r="A75" s="19" t="n">
        <x:v>19</x:v>
      </x:c>
      <x:c r="B75" s="19" t="str">
        <x:v>W</x:v>
      </x:c>
      <x:c r="C75" s="19" t="str">
        <x:v>checked_in_osm_extract</x:v>
      </x:c>
      <x:c r="D75" s="30" t="n">
        <x:v>218.51</x:v>
      </x:c>
      <x:c r="E75" s="30" t="n">
        <x:v>250</x:v>
      </x:c>
      <x:c r="F75" s="30" t="n">
        <x:v>235.05</x:v>
      </x:c>
      <x:c r="G75" s="30" t="n">
        <x:v>233.98</x:v>
      </x:c>
      <x:c r="H75" s="24" t="str">
        <x:v>standardized_isolated_intersection_boundary</x:v>
      </x:c>
      <x:c r="I75" s="19" t="str">
        <x:v>high</x:v>
      </x:c>
      <x:c r="J75" s="19" t="str">
        <x:v>next_osm_topological_junction</x:v>
      </x:c>
    </x:row>
    <x:row r="76" ht="28" customHeight="1">
      <x:c r="A76" s="19" t="n">
        <x:v>20</x:v>
      </x:c>
      <x:c r="B76" s="19" t="str">
        <x:v>N</x:v>
      </x:c>
      <x:c r="C76" s="19" t="str">
        <x:v>checked_in_osm_extract</x:v>
      </x:c>
      <x:c r="D76" s="30" t="n">
        <x:v>62.78</x:v>
      </x:c>
      <x:c r="E76" s="30" t="n">
        <x:v>250</x:v>
      </x:c>
      <x:c r="F76" s="30" t="n">
        <x:v>236.31</x:v>
      </x:c>
      <x:c r="G76" s="30" t="n">
        <x:v>236.31</x:v>
      </x:c>
      <x:c r="H76" s="24" t="str">
        <x:v>standardized_isolated_intersection_boundary</x:v>
      </x:c>
      <x:c r="I76" s="19" t="str">
        <x:v>high</x:v>
      </x:c>
      <x:c r="J76" s="19" t="str">
        <x:v>next_osm_topological_junction</x:v>
      </x:c>
    </x:row>
    <x:row r="77" ht="28" customHeight="1">
      <x:c r="A77" s="19" t="n">
        <x:v>20</x:v>
      </x:c>
      <x:c r="B77" s="19" t="str">
        <x:v>E</x:v>
      </x:c>
      <x:c r="C77" s="19" t="str">
        <x:v>checked_in_osm_extract</x:v>
      </x:c>
      <x:c r="D77" s="30" t="n">
        <x:v>244.82</x:v>
      </x:c>
      <x:c r="E77" s="30" t="n">
        <x:v>250</x:v>
      </x:c>
      <x:c r="F77" s="30" t="n">
        <x:v>238.06</x:v>
      </x:c>
      <x:c r="G77" s="30" t="n">
        <x:v>238.07</x:v>
      </x:c>
      <x:c r="H77" s="24" t="str">
        <x:v>standardized_isolated_intersection_boundary</x:v>
      </x:c>
      <x:c r="I77" s="19" t="str">
        <x:v>high</x:v>
      </x:c>
      <x:c r="J77" s="19" t="str">
        <x:v>next_osm_topological_junction</x:v>
      </x:c>
    </x:row>
    <x:row r="78" ht="28" customHeight="1">
      <x:c r="A78" s="19" t="n">
        <x:v>20</x:v>
      </x:c>
      <x:c r="B78" s="19" t="str">
        <x:v>S</x:v>
      </x:c>
      <x:c r="C78" s="19" t="str">
        <x:v>checked_in_osm_extract</x:v>
      </x:c>
      <x:c r="D78" s="30" t="n">
        <x:v>15.2</x:v>
      </x:c>
      <x:c r="E78" s="30" t="n">
        <x:v>250</x:v>
      </x:c>
      <x:c r="F78" s="30" t="n">
        <x:v>233.19</x:v>
      </x:c>
      <x:c r="G78" s="30" t="n">
        <x:v>233.19</x:v>
      </x:c>
      <x:c r="H78" s="24" t="str">
        <x:v>standardized_isolated_intersection_boundary</x:v>
      </x:c>
      <x:c r="I78" s="19" t="str">
        <x:v>high</x:v>
      </x:c>
      <x:c r="J78" s="19" t="str">
        <x:v>next_osm_topological_junction</x:v>
      </x:c>
    </x:row>
    <x:row r="79" ht="28" customHeight="1">
      <x:c r="A79" s="19" t="n">
        <x:v>20</x:v>
      </x:c>
      <x:c r="B79" s="19" t="str">
        <x:v>W</x:v>
      </x:c>
      <x:c r="C79" s="19" t="str">
        <x:v>checked_in_osm_extract</x:v>
      </x:c>
      <x:c r="D79" s="30" t="n">
        <x:v>113.48</x:v>
      </x:c>
      <x:c r="E79" s="30" t="n">
        <x:v>250</x:v>
      </x:c>
      <x:c r="F79" s="30" t="n">
        <x:v>235.39</x:v>
      </x:c>
      <x:c r="G79" s="30" t="n">
        <x:v>235.39</x:v>
      </x:c>
      <x:c r="H79" s="24" t="str">
        <x:v>standardized_isolated_intersection_boundary</x:v>
      </x:c>
      <x:c r="I79" s="19" t="str">
        <x:v>high</x:v>
      </x:c>
      <x:c r="J79" s="19" t="str">
        <x:v>next_osm_topological_junction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7" customHeight="1">
      <x:c r="A1" s="5" t="str">
        <x:v>主办方Excel内部差异明细</x:v>
      </x:c>
      <x:c r="B1" s="5" t="str">
        <x:v>主办方Excel内部差异明细</x:v>
      </x:c>
      <x:c r="C1" s="5" t="str">
        <x:v>主办方Excel内部差异明细</x:v>
      </x:c>
      <x:c r="D1" s="5" t="str">
        <x:v>主办方Excel内部差异明细</x:v>
      </x:c>
      <x:c r="E1" s="5" t="str">
        <x:v>主办方Excel内部差异明细</x:v>
      </x:c>
      <x:c r="F1" s="5" t="str">
        <x:v>主办方Excel内部差异明细</x:v>
      </x:c>
      <x:c r="G1" s="5" t="str">
        <x:v>主办方Excel内部差异明细</x:v>
      </x:c>
      <x:c r="H1" s="5" t="str">
        <x:v>主办方Excel内部差异明细</x:v>
      </x:c>
    </x:row>
    <x:row r="2" ht="27" customHeight="1">
      <x:c r="A2" s="5" t="str">
        <x:v>主办方Excel内部差异明细</x:v>
      </x:c>
      <x:c r="B2" s="5" t="str">
        <x:v>主办方Excel内部差异明细</x:v>
      </x:c>
      <x:c r="C2" s="5" t="str">
        <x:v>主办方Excel内部差异明细</x:v>
      </x:c>
      <x:c r="D2" s="5" t="str">
        <x:v>主办方Excel内部差异明细</x:v>
      </x:c>
      <x:c r="E2" s="5" t="str">
        <x:v>主办方Excel内部差异明细</x:v>
      </x:c>
      <x:c r="F2" s="5" t="str">
        <x:v>主办方Excel内部差异明细</x:v>
      </x:c>
      <x:c r="G2" s="5" t="str">
        <x:v>主办方Excel内部差异明细</x:v>
      </x:c>
      <x:c r="H2" s="5" t="str">
        <x:v>主办方Excel内部差异明细</x:v>
      </x:c>
    </x:row>
    <x:row r="3" ht="27" customHeight="1">
      <x:c r="A3" s="9" t="str">
        <x:v>这些是源表汇总格/比例/周期总计与明细行之间的差异，不是SUMO生成误差；主办方文件未修改。</x:v>
      </x:c>
      <x:c r="B3" s="9" t="str">
        <x:v>这些是源表汇总格/比例/周期总计与明细行之间的差异，不是SUMO生成误差；主办方文件未修改。</x:v>
      </x:c>
      <x:c r="C3" s="9" t="str">
        <x:v>这些是源表汇总格/比例/周期总计与明细行之间的差异，不是SUMO生成误差；主办方文件未修改。</x:v>
      </x:c>
      <x:c r="D3" s="9" t="str">
        <x:v>这些是源表汇总格/比例/周期总计与明细行之间的差异，不是SUMO生成误差；主办方文件未修改。</x:v>
      </x:c>
      <x:c r="E3" s="9" t="str">
        <x:v>这些是源表汇总格/比例/周期总计与明细行之间的差异，不是SUMO生成误差；主办方文件未修改。</x:v>
      </x:c>
      <x:c r="F3" s="9" t="str">
        <x:v>这些是源表汇总格/比例/周期总计与明细行之间的差异，不是SUMO生成误差；主办方文件未修改。</x:v>
      </x:c>
      <x:c r="G3" s="9" t="str">
        <x:v>这些是源表汇总格/比例/周期总计与明细行之间的差异，不是SUMO生成误差；主办方文件未修改。</x:v>
      </x:c>
      <x:c r="H3" s="9" t="str">
        <x:v>这些是源表汇总格/比例/周期总计与明细行之间的差异，不是SUMO生成误差；主办方文件未修改。</x:v>
      </x:c>
    </x:row>
    <x:row r="5" ht="34" customHeight="1">
      <x:c r="A5" s="15" t="str">
        <x:v>路口</x:v>
      </x:c>
      <x:c r="B5" s="15" t="str">
        <x:v>时段</x:v>
      </x:c>
      <x:c r="C5" s="15" t="str">
        <x:v>类别</x:v>
      </x:c>
      <x:c r="D5" s="15" t="str">
        <x:v>字段</x:v>
      </x:c>
      <x:c r="E5" s="15" t="str">
        <x:v>源表值</x:v>
      </x:c>
      <x:c r="F5" s="15" t="str">
        <x:v>明细计算值</x:v>
      </x:c>
      <x:c r="G5" s="15" t="str">
        <x:v>显示容差</x:v>
      </x:c>
      <x:c r="H5" s="15" t="str">
        <x:v>差值</x:v>
      </x:c>
    </x:row>
    <x:row r="6" ht="28" customHeight="1">
      <x:c r="A6" s="19" t="n">
        <x:v>6</x:v>
      </x:c>
      <x:c r="B6" s="19" t="str">
        <x:v>am_peak</x:v>
      </x:c>
      <x:c r="C6" s="19" t="str">
        <x:v>turn_ratio</x:v>
      </x:c>
      <x:c r="D6" s="19" t="str">
        <x:v>E_R</x:v>
      </x:c>
      <x:c r="E6" s="31" t="n">
        <x:v>0.25</x:v>
      </x:c>
      <x:c r="F6" s="31" t="n">
        <x:v>0.24496221662468515</x:v>
      </x:c>
      <x:c r="G6" s="31" t="n">
        <x:v>0.0050000000010000005</x:v>
      </x:c>
      <x:c r="H6" s="31" t="n">
        <x:f>F6-E6</x:f>
        <x:v>-0.005037783375314853</x:v>
      </x:c>
    </x:row>
    <x:row r="7" ht="28" customHeight="1">
      <x:c r="A7" s="19" t="n">
        <x:v>6</x:v>
      </x:c>
      <x:c r="B7" s="19" t="str">
        <x:v>am_peak</x:v>
      </x:c>
      <x:c r="C7" s="19" t="str">
        <x:v>turn_ratio</x:v>
      </x:c>
      <x:c r="D7" s="19" t="str">
        <x:v>N_S</x:v>
      </x:c>
      <x:c r="E7" s="31" t="n">
        <x:v>0.65</x:v>
      </x:c>
      <x:c r="F7" s="31" t="n">
        <x:v>0.6449416342412452</x:v>
      </x:c>
      <x:c r="G7" s="31" t="n">
        <x:v>0.0050000000010000005</x:v>
      </x:c>
      <x:c r="H7" s="31" t="n">
        <x:f>F7-E7</x:f>
        <x:v>-0.005058365758754846</x:v>
      </x:c>
    </x:row>
    <x:row r="8" ht="28" customHeight="1">
      <x:c r="A8" s="19" t="n">
        <x:v>6</x:v>
      </x:c>
      <x:c r="B8" s="19" t="str">
        <x:v>offpeak</x:v>
      </x:c>
      <x:c r="C8" s="19" t="str">
        <x:v>turn_ratio</x:v>
      </x:c>
      <x:c r="D8" s="19" t="str">
        <x:v>S_S</x:v>
      </x:c>
      <x:c r="E8" s="31" t="n">
        <x:v>0.39</x:v>
      </x:c>
      <x:c r="F8" s="31" t="n">
        <x:v>0.3827893175074184</x:v>
      </x:c>
      <x:c r="G8" s="31" t="n">
        <x:v>0.0050000000010000005</x:v>
      </x:c>
      <x:c r="H8" s="31" t="n">
        <x:f>F8-E8</x:f>
        <x:v>-0.00721068249258161</x:v>
      </x:c>
    </x:row>
    <x:row r="9" ht="28" customHeight="1">
      <x:c r="A9" s="19" t="n">
        <x:v>6</x:v>
      </x:c>
      <x:c r="B9" s="19" t="str">
        <x:v>pm_peak</x:v>
      </x:c>
      <x:c r="C9" s="19" t="str">
        <x:v>turn_ratio</x:v>
      </x:c>
      <x:c r="D9" s="19" t="str">
        <x:v>N_R</x:v>
      </x:c>
      <x:c r="E9" s="31" t="n">
        <x:v>0.18</x:v>
      </x:c>
      <x:c r="F9" s="31" t="n">
        <x:v>0.18711018711018712</x:v>
      </x:c>
      <x:c r="G9" s="31" t="n">
        <x:v>0.0050000000010000005</x:v>
      </x:c>
      <x:c r="H9" s="31" t="n">
        <x:f>F9-E9</x:f>
        <x:v>0.007110187110187127</x:v>
      </x:c>
    </x:row>
    <x:row r="10" ht="28" customHeight="1">
      <x:c r="A10" s="19" t="n">
        <x:v>7</x:v>
      </x:c>
      <x:c r="B10" s="19" t="str">
        <x:v>am_peak</x:v>
      </x:c>
      <x:c r="C10" s="19" t="str">
        <x:v>approach_total</x:v>
      </x:c>
      <x:c r="D10" s="19" t="str">
        <x:v>S</x:v>
      </x:c>
      <x:c r="E10" s="31" t="n">
        <x:v>1026</x:v>
      </x:c>
      <x:c r="F10" s="31" t="n">
        <x:v>1036</x:v>
      </x:c>
      <x:c r="G10" s="31" t="n">
        <x:v>0</x:v>
      </x:c>
      <x:c r="H10" s="31" t="n">
        <x:f>F10-E10</x:f>
        <x:v>10</x:v>
      </x:c>
    </x:row>
    <x:row r="11" ht="28" customHeight="1">
      <x:c r="A11" s="19" t="n">
        <x:v>11</x:v>
      </x:c>
      <x:c r="B11" s="19" t="str">
        <x:v>offpeak</x:v>
      </x:c>
      <x:c r="C11" s="19" t="str">
        <x:v>turn_ratio</x:v>
      </x:c>
      <x:c r="D11" s="19" t="str">
        <x:v>W_S</x:v>
      </x:c>
      <x:c r="E11" s="31" t="n">
        <x:v>0.45</x:v>
      </x:c>
      <x:c r="F11" s="31" t="n">
        <x:v>0.4644808743169399</x:v>
      </x:c>
      <x:c r="G11" s="31" t="n">
        <x:v>0.0050000000010000005</x:v>
      </x:c>
      <x:c r="H11" s="31" t="n">
        <x:f>F11-E11</x:f>
        <x:v>0.014480874316939896</x:v>
      </x:c>
    </x:row>
    <x:row r="12" ht="28" customHeight="1">
      <x:c r="A12" s="19" t="n">
        <x:v>11</x:v>
      </x:c>
      <x:c r="B12" s="19" t="str">
        <x:v>offpeak</x:v>
      </x:c>
      <x:c r="C12" s="19" t="str">
        <x:v>turn_ratio</x:v>
      </x:c>
      <x:c r="D12" s="19" t="str">
        <x:v>N_L</x:v>
      </x:c>
      <x:c r="E12" s="31" t="n">
        <x:v>0.32</x:v>
      </x:c>
      <x:c r="F12" s="31" t="n">
        <x:v>0.2753108348134991</x:v>
      </x:c>
      <x:c r="G12" s="31" t="n">
        <x:v>0.0050000000010000005</x:v>
      </x:c>
      <x:c r="H12" s="31" t="n">
        <x:f>F12-E12</x:f>
        <x:v>-0.0446891651865009</x:v>
      </x:c>
    </x:row>
    <x:row r="13" ht="28" customHeight="1">
      <x:c r="A13" s="19" t="n">
        <x:v>11</x:v>
      </x:c>
      <x:c r="B13" s="19" t="str">
        <x:v>pm_peak</x:v>
      </x:c>
      <x:c r="C13" s="19" t="str">
        <x:v>approach_total</x:v>
      </x:c>
      <x:c r="D13" s="19" t="str">
        <x:v>W</x:v>
      </x:c>
      <x:c r="E13" s="31" t="n">
        <x:v>2031</x:v>
      </x:c>
      <x:c r="F13" s="31" t="n">
        <x:v>2021</x:v>
      </x:c>
      <x:c r="G13" s="31" t="n">
        <x:v>0</x:v>
      </x:c>
      <x:c r="H13" s="31" t="n">
        <x:f>F13-E13</x:f>
        <x:v>-10</x:v>
      </x:c>
    </x:row>
    <x:row r="14" ht="28" customHeight="1">
      <x:c r="A14" s="19" t="n">
        <x:v>12</x:v>
      </x:c>
      <x:c r="B14" s="19" t="str">
        <x:v>offpeak</x:v>
      </x:c>
      <x:c r="C14" s="19" t="str">
        <x:v>cycle_total</x:v>
      </x:c>
      <x:c r="D14" s="19" t="str">
        <x:v>cycle_s</x:v>
      </x:c>
      <x:c r="E14" s="31" t="n">
        <x:v>195</x:v>
      </x:c>
      <x:c r="F14" s="31" t="n">
        <x:v>215</x:v>
      </x:c>
      <x:c r="G14" s="31" t="n">
        <x:v>0</x:v>
      </x:c>
      <x:c r="H14" s="31" t="n">
        <x:f>F14-E14</x:f>
        <x:v>20</x:v>
      </x:c>
    </x:row>
    <x:row r="15" ht="28" customHeight="1">
      <x:c r="A15" s="19" t="n">
        <x:v>12</x:v>
      </x:c>
      <x:c r="B15" s="19" t="str">
        <x:v>pm_peak</x:v>
      </x:c>
      <x:c r="C15" s="19" t="str">
        <x:v>cycle_total</x:v>
      </x:c>
      <x:c r="D15" s="19" t="str">
        <x:v>cycle_s</x:v>
      </x:c>
      <x:c r="E15" s="31" t="n">
        <x:v>178</x:v>
      </x:c>
      <x:c r="F15" s="31" t="n">
        <x:v>180</x:v>
      </x:c>
      <x:c r="G15" s="31" t="n">
        <x:v>0</x:v>
      </x:c>
      <x:c r="H15" s="31" t="n">
        <x:f>F15-E15</x:f>
        <x:v>2</x:v>
      </x:c>
    </x:row>
    <x:row r="16" ht="28" customHeight="1">
      <x:c r="A16" s="19" t="n">
        <x:v>15</x:v>
      </x:c>
      <x:c r="B16" s="19" t="str">
        <x:v>offpeak</x:v>
      </x:c>
      <x:c r="C16" s="19" t="str">
        <x:v>approach_total</x:v>
      </x:c>
      <x:c r="D16" s="19" t="str">
        <x:v>E</x:v>
      </x:c>
      <x:c r="E16" s="31" t="n">
        <x:v>1056</x:v>
      </x:c>
      <x:c r="F16" s="31" t="n">
        <x:v>1083</x:v>
      </x:c>
      <x:c r="G16" s="31" t="n">
        <x:v>0</x:v>
      </x:c>
      <x:c r="H16" s="31" t="n">
        <x:f>F16-E16</x:f>
        <x:v>27</x:v>
      </x:c>
    </x:row>
    <x:row r="17" ht="28" customHeight="1">
      <x:c r="A17" s="19" t="n">
        <x:v>15</x:v>
      </x:c>
      <x:c r="B17" s="19" t="str">
        <x:v>offpeak</x:v>
      </x:c>
      <x:c r="C17" s="19" t="str">
        <x:v>turn_ratio</x:v>
      </x:c>
      <x:c r="D17" s="19" t="str">
        <x:v>S_S</x:v>
      </x:c>
      <x:c r="E17" s="31" t="n">
        <x:v>0.34</x:v>
      </x:c>
      <x:c r="F17" s="31" t="n">
        <x:v>0.333133971291866</x:v>
      </x:c>
      <x:c r="G17" s="31" t="n">
        <x:v>0.0050000000010000005</x:v>
      </x:c>
      <x:c r="H17" s="31" t="n">
        <x:f>F17-E17</x:f>
        <x:v>-0.00686602870813402</x:v>
      </x:c>
    </x:row>
    <x:row r="18" ht="28" customHeight="1">
      <x:c r="A18" s="19" t="n">
        <x:v>15</x:v>
      </x:c>
      <x:c r="B18" s="19" t="str">
        <x:v>pm_peak</x:v>
      </x:c>
      <x:c r="C18" s="19" t="str">
        <x:v>turn_ratio</x:v>
      </x:c>
      <x:c r="D18" s="19" t="str">
        <x:v>W_L</x:v>
      </x:c>
      <x:c r="E18" s="31" t="n">
        <x:v>0.36</x:v>
      </x:c>
      <x:c r="F18" s="31" t="n">
        <x:v>0.35387547649301143</x:v>
      </x:c>
      <x:c r="G18" s="31" t="n">
        <x:v>0.0050000000010000005</x:v>
      </x:c>
      <x:c r="H18" s="31" t="n">
        <x:f>F18-E18</x:f>
        <x:v>-0.006124523506988555</x:v>
      </x:c>
    </x:row>
    <x:row r="19" ht="28" customHeight="1">
      <x:c r="A19" s="19" t="n">
        <x:v>16</x:v>
      </x:c>
      <x:c r="B19" s="19" t="str">
        <x:v>am_peak</x:v>
      </x:c>
      <x:c r="C19" s="19" t="str">
        <x:v>turn_ratio</x:v>
      </x:c>
      <x:c r="D19" s="19" t="str">
        <x:v>S_L</x:v>
      </x:c>
      <x:c r="E19" s="31" t="n">
        <x:v>0.37</x:v>
      </x:c>
      <x:c r="F19" s="31" t="n">
        <x:v>0.37512537612838515</x:v>
      </x:c>
      <x:c r="G19" s="31" t="n">
        <x:v>0.0050000000010000005</x:v>
      </x:c>
      <x:c r="H19" s="31" t="n">
        <x:f>F19-E19</x:f>
        <x:v>0.005125376128385151</x:v>
      </x:c>
    </x:row>
    <x:row r="20" ht="28" customHeight="1">
      <x:c r="A20" s="19" t="n">
        <x:v>16</x:v>
      </x:c>
      <x:c r="B20" s="19" t="str">
        <x:v>offpeak</x:v>
      </x:c>
      <x:c r="C20" s="19" t="str">
        <x:v>approach_total</x:v>
      </x:c>
      <x:c r="D20" s="19" t="str">
        <x:v>S</x:v>
      </x:c>
      <x:c r="E20" s="31" t="n">
        <x:v>1010</x:v>
      </x:c>
      <x:c r="F20" s="31" t="n">
        <x:v>1470</x:v>
      </x:c>
      <x:c r="G20" s="31" t="n">
        <x:v>0</x:v>
      </x:c>
      <x:c r="H20" s="31" t="n">
        <x:f>F20-E20</x:f>
        <x:v>460</x:v>
      </x:c>
    </x:row>
    <x:row r="21" ht="28" customHeight="1">
      <x:c r="A21" s="19" t="n">
        <x:v>16</x:v>
      </x:c>
      <x:c r="B21" s="19" t="str">
        <x:v>offpeak</x:v>
      </x:c>
      <x:c r="C21" s="19" t="str">
        <x:v>turn_ratio</x:v>
      </x:c>
      <x:c r="D21" s="19" t="str">
        <x:v>W_S</x:v>
      </x:c>
      <x:c r="E21" s="31" t="n">
        <x:v>0.45</x:v>
      </x:c>
      <x:c r="F21" s="31" t="n">
        <x:v>0.455535390199637</x:v>
      </x:c>
      <x:c r="G21" s="31" t="n">
        <x:v>0.0050000000010000005</x:v>
      </x:c>
      <x:c r="H21" s="31" t="n">
        <x:f>F21-E21</x:f>
        <x:v>0.0055353901996370025</x:v>
      </x:c>
    </x:row>
    <x:row r="22" ht="28" customHeight="1">
      <x:c r="A22" s="19" t="n">
        <x:v>16</x:v>
      </x:c>
      <x:c r="B22" s="19" t="str">
        <x:v>offpeak</x:v>
      </x:c>
      <x:c r="C22" s="19" t="str">
        <x:v>turn_ratio</x:v>
      </x:c>
      <x:c r="D22" s="19" t="str">
        <x:v>N_L</x:v>
      </x:c>
      <x:c r="E22" s="31" t="n">
        <x:v>0.32</x:v>
      </x:c>
      <x:c r="F22" s="31" t="n">
        <x:v>0.329004329004329</x:v>
      </x:c>
      <x:c r="G22" s="31" t="n">
        <x:v>0.0050000000010000005</x:v>
      </x:c>
      <x:c r="H22" s="31" t="n">
        <x:f>F22-E22</x:f>
        <x:v>0.009004329004329015</x:v>
      </x:c>
    </x:row>
    <x:row r="23" ht="28" customHeight="1">
      <x:c r="A23" s="19" t="n">
        <x:v>16</x:v>
      </x:c>
      <x:c r="B23" s="19" t="str">
        <x:v>pm_peak</x:v>
      </x:c>
      <x:c r="C23" s="19" t="str">
        <x:v>approach_total</x:v>
      </x:c>
      <x:c r="D23" s="19" t="str">
        <x:v>S</x:v>
      </x:c>
      <x:c r="E23" s="31" t="n">
        <x:v>1165</x:v>
      </x:c>
      <x:c r="F23" s="31" t="n">
        <x:v>1215</x:v>
      </x:c>
      <x:c r="G23" s="31" t="n">
        <x:v>0</x:v>
      </x:c>
      <x:c r="H23" s="31" t="n">
        <x:f>F23-E23</x:f>
        <x:v>50</x:v>
      </x:c>
    </x:row>
    <x:row r="24" ht="28" customHeight="1">
      <x:c r="A24" s="19" t="n">
        <x:v>17</x:v>
      </x:c>
      <x:c r="B24" s="19" t="str">
        <x:v>offpeak</x:v>
      </x:c>
      <x:c r="C24" s="19" t="str">
        <x:v>turn_ratio</x:v>
      </x:c>
      <x:c r="D24" s="19" t="str">
        <x:v>E_L</x:v>
      </x:c>
      <x:c r="E24" s="31" t="n">
        <x:v>0.65</x:v>
      </x:c>
      <x:c r="F24" s="31" t="n">
        <x:v>0.6408227848101266</x:v>
      </x:c>
      <x:c r="G24" s="31" t="n">
        <x:v>0.0050000000010000005</x:v>
      </x:c>
      <x:c r="H24" s="31" t="n">
        <x:f>F24-E24</x:f>
        <x:v>-0.009177215189873467</x:v>
      </x:c>
    </x:row>
    <x:row r="25" ht="28" customHeight="1">
      <x:c r="A25" s="19" t="n">
        <x:v>17</x:v>
      </x:c>
      <x:c r="B25" s="19" t="str">
        <x:v>offpeak</x:v>
      </x:c>
      <x:c r="C25" s="19" t="str">
        <x:v>turn_ratio</x:v>
      </x:c>
      <x:c r="D25" s="19" t="str">
        <x:v>E_R</x:v>
      </x:c>
      <x:c r="E25" s="31" t="n">
        <x:v>0.35</x:v>
      </x:c>
      <x:c r="F25" s="31" t="n">
        <x:v>0.35917721518987344</x:v>
      </x:c>
      <x:c r="G25" s="31" t="n">
        <x:v>0.0050000000010000005</x:v>
      </x:c>
      <x:c r="H25" s="31" t="n">
        <x:f>F25-E25</x:f>
        <x:v>0.009177215189873467</x:v>
      </x:c>
    </x:row>
    <x:row r="26" ht="28" customHeight="1">
      <x:c r="A26" s="19" t="n">
        <x:v>17</x:v>
      </x:c>
      <x:c r="B26" s="19" t="str">
        <x:v>offpeak</x:v>
      </x:c>
      <x:c r="C26" s="19" t="str">
        <x:v>turn_ratio</x:v>
      </x:c>
      <x:c r="D26" s="19" t="str">
        <x:v>S_S</x:v>
      </x:c>
      <x:c r="E26" s="31" t="n">
        <x:v>0.49</x:v>
      </x:c>
      <x:c r="F26" s="31" t="n">
        <x:v>0.4953416149068323</x:v>
      </x:c>
      <x:c r="G26" s="31" t="n">
        <x:v>0.0050000000010000005</x:v>
      </x:c>
      <x:c r="H26" s="31" t="n">
        <x:f>F26-E26</x:f>
        <x:v>0.005341614906832326</x:v>
      </x:c>
    </x:row>
    <x:row r="27" ht="28" customHeight="1">
      <x:c r="A27" s="19" t="n">
        <x:v>17</x:v>
      </x:c>
      <x:c r="B27" s="19" t="str">
        <x:v>offpeak</x:v>
      </x:c>
      <x:c r="C27" s="19" t="str">
        <x:v>turn_ratio</x:v>
      </x:c>
      <x:c r="D27" s="19" t="str">
        <x:v>S_R</x:v>
      </x:c>
      <x:c r="E27" s="31" t="n">
        <x:v>0.51</x:v>
      </x:c>
      <x:c r="F27" s="31" t="n">
        <x:v>0.5046583850931677</x:v>
      </x:c>
      <x:c r="G27" s="31" t="n">
        <x:v>0.0050000000010000005</x:v>
      </x:c>
      <x:c r="H27" s="31" t="n">
        <x:f>F27-E27</x:f>
        <x:v>-0.0053416149068322705</x:v>
      </x:c>
    </x:row>
    <x:row r="28" ht="28" customHeight="1">
      <x:c r="A28" s="19" t="n">
        <x:v>17</x:v>
      </x:c>
      <x:c r="B28" s="19" t="str">
        <x:v>offpeak</x:v>
      </x:c>
      <x:c r="C28" s="19" t="str">
        <x:v>turn_ratio</x:v>
      </x:c>
      <x:c r="D28" s="19" t="str">
        <x:v>N_L</x:v>
      </x:c>
      <x:c r="E28" s="31" t="n">
        <x:v>0.62</x:v>
      </x:c>
      <x:c r="F28" s="31" t="n">
        <x:v>0.6019021739130435</x:v>
      </x:c>
      <x:c r="G28" s="31" t="n">
        <x:v>0.0050000000010000005</x:v>
      </x:c>
      <x:c r="H28" s="31" t="n">
        <x:f>F28-E28</x:f>
        <x:v>-0.018097826086956537</x:v>
      </x:c>
    </x:row>
    <x:row r="29" ht="28" customHeight="1">
      <x:c r="A29" s="19" t="n">
        <x:v>17</x:v>
      </x:c>
      <x:c r="B29" s="19" t="str">
        <x:v>offpeak</x:v>
      </x:c>
      <x:c r="C29" s="19" t="str">
        <x:v>turn_ratio</x:v>
      </x:c>
      <x:c r="D29" s="19" t="str">
        <x:v>N_S</x:v>
      </x:c>
      <x:c r="E29" s="31" t="n">
        <x:v>0.38</x:v>
      </x:c>
      <x:c r="F29" s="31" t="n">
        <x:v>0.39809782608695654</x:v>
      </x:c>
      <x:c r="G29" s="31" t="n">
        <x:v>0.0050000000010000005</x:v>
      </x:c>
      <x:c r="H29" s="31" t="n">
        <x:f>F29-E29</x:f>
        <x:v>0.018097826086956537</x:v>
      </x:c>
    </x:row>
    <x:row r="30" ht="28" customHeight="1">
      <x:c r="A30" s="19" t="n">
        <x:v>18</x:v>
      </x:c>
      <x:c r="B30" s="19" t="str">
        <x:v>offpeak</x:v>
      </x:c>
      <x:c r="C30" s="19" t="str">
        <x:v>turn_ratio</x:v>
      </x:c>
      <x:c r="D30" s="19" t="str">
        <x:v>S_R</x:v>
      </x:c>
      <x:c r="E30" s="31" t="n">
        <x:v>0.35</x:v>
      </x:c>
      <x:c r="F30" s="31" t="n">
        <x:v>0.34370477568740954</x:v>
      </x:c>
      <x:c r="G30" s="31" t="n">
        <x:v>0.0050000000010000005</x:v>
      </x:c>
      <x:c r="H30" s="31" t="n">
        <x:f>F30-E30</x:f>
        <x:v>-0.006295224312590442</x:v>
      </x:c>
    </x:row>
    <x:row r="31" ht="28" customHeight="1">
      <x:c r="A31" s="19" t="n">
        <x:v>18</x:v>
      </x:c>
      <x:c r="B31" s="19" t="str">
        <x:v>pm_peak</x:v>
      </x:c>
      <x:c r="C31" s="19" t="str">
        <x:v>turn_ratio</x:v>
      </x:c>
      <x:c r="D31" s="19" t="str">
        <x:v>E_L</x:v>
      </x:c>
      <x:c r="E31" s="31" t="n">
        <x:v>0.31</x:v>
      </x:c>
      <x:c r="F31" s="31" t="n">
        <x:v>0.3038779402415766</x:v>
      </x:c>
      <x:c r="G31" s="31" t="n">
        <x:v>0.0050000000010000005</x:v>
      </x:c>
      <x:c r="H31" s="31" t="n">
        <x:f>F31-E31</x:f>
        <x:v>-0.006122059758423393</x:v>
      </x:c>
    </x:row>
    <x:row r="32" ht="28" customHeight="1">
      <x:c r="A32" s="19" t="n">
        <x:v>19</x:v>
      </x:c>
      <x:c r="B32" s="19" t="str">
        <x:v>offpeak</x:v>
      </x:c>
      <x:c r="C32" s="19" t="str">
        <x:v>turn_ratio</x:v>
      </x:c>
      <x:c r="D32" s="19" t="str">
        <x:v>S_R</x:v>
      </x:c>
      <x:c r="E32" s="31" t="n">
        <x:v>0.18</x:v>
      </x:c>
      <x:c r="F32" s="31" t="n">
        <x:v>0.18536585365853658</x:v>
      </x:c>
      <x:c r="G32" s="31" t="n">
        <x:v>0.0050000000010000005</x:v>
      </x:c>
      <x:c r="H32" s="31" t="n">
        <x:f>F32-E32</x:f>
        <x:v>0.00536585365853659</x:v>
      </x:c>
    </x:row>
    <x:row r="33" ht="28" customHeight="1">
      <x:c r="A33" s="19" t="n">
        <x:v>19</x:v>
      </x:c>
      <x:c r="B33" s="19" t="str">
        <x:v>pm_peak</x:v>
      </x:c>
      <x:c r="C33" s="19" t="str">
        <x:v>approach_total</x:v>
      </x:c>
      <x:c r="D33" s="19" t="str">
        <x:v>N</x:v>
      </x:c>
      <x:c r="E33" s="31" t="n">
        <x:v>1377</x:v>
      </x:c>
      <x:c r="F33" s="31" t="n">
        <x:v>1397</x:v>
      </x:c>
      <x:c r="G33" s="31" t="n">
        <x:v>0</x:v>
      </x:c>
      <x:c r="H33" s="31" t="n">
        <x:f>F33-E33</x:f>
        <x:v>20</x:v>
      </x:c>
    </x:row>
    <x:row r="34" ht="28" customHeight="1">
      <x:c r="A34" s="19" t="n">
        <x:v>19</x:v>
      </x:c>
      <x:c r="B34" s="19" t="str">
        <x:v>pm_peak</x:v>
      </x:c>
      <x:c r="C34" s="19" t="str">
        <x:v>turn_ratio</x:v>
      </x:c>
      <x:c r="D34" s="19" t="str">
        <x:v>W_L</x:v>
      </x:c>
      <x:c r="E34" s="31" t="n">
        <x:v>0.33</x:v>
      </x:c>
      <x:c r="F34" s="31" t="n">
        <x:v>0.33599361532322425</x:v>
      </x:c>
      <x:c r="G34" s="31" t="n">
        <x:v>0.0050000000010000005</x:v>
      </x:c>
      <x:c r="H34" s="31" t="n">
        <x:f>F34-E34</x:f>
        <x:v>0.005993615323224233</x:v>
      </x:c>
    </x:row>
  </x:sheetData>
  <x:mergeCells>
    <x:mergeCell ref="A1:H2"/>
    <x:mergeCell ref="A3:H3"/>
  </x:mergeCells>
  <x:pageMargins left="0.7" right="0.7" top="0.75" bottom="0.75" header="0.3" footer="0.3"/>
</x:worksheet>
</file>